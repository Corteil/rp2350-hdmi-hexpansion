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8800" windowHeight="17685" tabRatio="500" firstSheet="0" activeTab="0" autoFilterDateGrouping="1"/>
  </bookViews>
  <sheets>
    <sheet name="BOM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.000"/>
    <numFmt numFmtId="165" formatCode="\$#,##0.00;&quot;($&quot;#,##0.00\);\-"/>
    <numFmt numFmtId="166" formatCode="\$#,##0.00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charset val="1"/>
      <color rgb="FF0000FF"/>
      <sz val="10"/>
    </font>
    <font>
      <name val="Arial"/>
      <charset val="1"/>
      <b val="1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horizontal="right"/>
    </xf>
    <xf numFmtId="1" fontId="4" fillId="0" borderId="0" pivotButton="0" quotePrefix="0" xfId="0"/>
    <xf numFmtId="166" fontId="5" fillId="3" borderId="0" pivotButton="0" quotePrefix="0" xfId="0"/>
    <xf numFmtId="166" fontId="4" fillId="0" borderId="0" pivotButton="0" quotePrefix="0" xfId="0"/>
    <xf numFmtId="1" fontId="5" fillId="3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7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6" sqref="G6"/>
    </sheetView>
  </sheetViews>
  <sheetFormatPr baseColWidth="8" defaultColWidth="8.7109375" defaultRowHeight="15"/>
  <cols>
    <col width="12" customWidth="1" style="15" min="1" max="2"/>
    <col width="32" customWidth="1" style="15" min="3" max="3"/>
    <col width="34" customWidth="1" style="15" min="4" max="4"/>
    <col width="18" customWidth="1" style="15" min="5" max="5"/>
    <col width="6" customWidth="1" style="15" min="6" max="6"/>
    <col width="11" customWidth="1" style="15" min="7" max="7"/>
    <col width="12" customWidth="1" style="15" min="8" max="8"/>
    <col width="14" customWidth="1" style="15" min="9" max="9"/>
    <col width="9" customWidth="1" style="15" min="10" max="10"/>
    <col width="12" customWidth="1" style="15" min="11" max="11"/>
    <col width="13" customWidth="1" style="15" min="12" max="12"/>
    <col width="44" customWidth="1" style="15" min="13" max="13"/>
  </cols>
  <sheetData>
    <row r="1" ht="17.45" customHeight="1" s="15">
      <c r="A1" s="1" t="inlineStr">
        <is>
          <t>RP2350 HDMI Hexpansion - BOM tracker (1.0mm PCB, single-sided assembly)</t>
        </is>
      </c>
    </row>
    <row r="2" ht="30" customHeight="1" s="15">
      <c r="A2" s="14" t="inlineStr">
        <is>
          <t>Legend: yellow cells are yours to fill in. LCSC # format is C followed by digits (e.g. C12345 - placeholder format only). Check Basic/Extended and Stock in the JLCPCB parts library before committing to a footprint.</t>
        </is>
      </c>
    </row>
    <row r="3" s="15"/>
    <row r="4" ht="31.5" customHeight="1" s="15">
      <c r="A4" s="2" t="inlineStr">
        <is>
          <t>Section</t>
        </is>
      </c>
      <c r="B4" s="2" t="inlineStr">
        <is>
          <t>Ref (KiCad)</t>
        </is>
      </c>
      <c r="C4" s="2" t="inlineStr">
        <is>
          <t>Function</t>
        </is>
      </c>
      <c r="D4" s="2" t="inlineStr">
        <is>
          <t>Suggested part / value</t>
        </is>
      </c>
      <c r="E4" s="2" t="inlineStr">
        <is>
          <t>Package</t>
        </is>
      </c>
      <c r="F4" s="2" t="inlineStr">
        <is>
          <t>Qty</t>
        </is>
      </c>
      <c r="G4" s="2" t="inlineStr">
        <is>
          <t>Assemble? (Y/N)</t>
        </is>
      </c>
      <c r="H4" s="2" t="inlineStr">
        <is>
          <t>LCSC #</t>
        </is>
      </c>
      <c r="I4" s="2" t="inlineStr">
        <is>
          <t>Basic / Extended</t>
        </is>
      </c>
      <c r="J4" s="2" t="inlineStr">
        <is>
          <t>Stock</t>
        </is>
      </c>
      <c r="K4" s="2" t="inlineStr">
        <is>
          <t>Unit cost (USD)</t>
        </is>
      </c>
      <c r="L4" s="2" t="inlineStr">
        <is>
          <t>Line total (USD)</t>
        </is>
      </c>
      <c r="M4" s="2" t="inlineStr">
        <is>
          <t>Notes</t>
        </is>
      </c>
    </row>
    <row r="5" ht="23.85" customHeight="1" s="15">
      <c r="A5" s="3" t="inlineStr">
        <is>
          <t>Core</t>
        </is>
      </c>
      <c r="B5" s="3" t="inlineStr">
        <is>
          <t>U1</t>
        </is>
      </c>
      <c r="C5" s="3" t="inlineStr">
        <is>
          <t>Microcontroller</t>
        </is>
      </c>
      <c r="D5" s="3" t="inlineStr">
        <is>
          <t>RP2354A</t>
        </is>
      </c>
      <c r="E5" s="3" t="inlineStr">
        <is>
          <t>QFN-60 7x7</t>
        </is>
      </c>
      <c r="F5" s="4" t="n">
        <v>1</v>
      </c>
      <c r="G5" s="5" t="inlineStr">
        <is>
          <t>Y</t>
        </is>
      </c>
      <c r="H5" s="6" t="inlineStr">
        <is>
          <t>C41378174</t>
        </is>
      </c>
      <c r="I5" s="6" t="inlineStr">
        <is>
          <t>Extended</t>
        </is>
      </c>
      <c r="J5" s="6" t="n"/>
      <c r="K5" s="7" t="n">
        <v>1.27</v>
      </c>
      <c r="L5" s="8">
        <f>IF(G5="Y",F5*K5,0)</f>
        <v/>
      </c>
      <c r="M5" s="3" t="inlineStr">
        <is>
          <t>RP2350A with 2MB flash stacked in package (on QSPI CS0) - no external flash needed. Copy Raspberry Pi RP2350 hardware design guide minimal design. Firmware: PICO_FLASH_SIZE_BYTES = 2MB. Unit cost: GBP 1.00 converted at 1.27 USD/GBP</t>
        </is>
      </c>
    </row>
    <row r="6" ht="23.85" customHeight="1" s="15">
      <c r="A6" s="3" t="inlineStr">
        <is>
          <t>Core</t>
        </is>
      </c>
      <c r="B6" s="3" t="inlineStr">
        <is>
          <t>U6</t>
        </is>
      </c>
      <c r="C6" s="3" t="inlineStr">
        <is>
          <t>QSPI PSRAM</t>
        </is>
      </c>
      <c r="D6" s="3" t="inlineStr">
        <is>
          <t>APS6404L-3SQR-ZR (8MB)</t>
        </is>
      </c>
      <c r="E6" s="3" t="inlineStr">
        <is>
          <t>SOP-8</t>
        </is>
      </c>
      <c r="F6" s="4" t="n">
        <v>1</v>
      </c>
      <c r="G6" s="5" t="inlineStr">
        <is>
          <t>N</t>
        </is>
      </c>
      <c r="H6" s="6" t="n"/>
      <c r="I6" s="6" t="n"/>
      <c r="J6" s="6" t="n"/>
      <c r="K6" s="7" t="n"/>
      <c r="L6" s="8">
        <f>IF(G6="Y",F6*K6,0)</f>
        <v/>
      </c>
      <c r="M6" s="3" t="inlineStr">
        <is>
          <t>Footprint only; hand-solder if wanted (SOP-8, 1.27mm pitch - confirm SOP-8 not USON variant). Shares QSPI SCLK/SD0-3 with the RP2354A internal flash; CS on GPIO0 (QMI CS1; 8 is microSD and 19 is HSTX) with 10k pull-up (fit even when U6 is not); 100nF decoupling. bom.csv lists LCSC C3040877 - avoid -SN variant (much pricier)</t>
        </is>
      </c>
    </row>
    <row r="7" ht="15" customHeight="1" s="15">
      <c r="A7" s="3" t="inlineStr">
        <is>
          <t>Core</t>
        </is>
      </c>
      <c r="B7" s="3" t="inlineStr">
        <is>
          <t>Y1</t>
        </is>
      </c>
      <c r="C7" s="3" t="inlineStr">
        <is>
          <t>Crystal</t>
        </is>
      </c>
      <c r="D7" s="3" t="inlineStr">
        <is>
          <t>12MHz</t>
        </is>
      </c>
      <c r="E7" s="3" t="inlineStr">
        <is>
          <t>3.2x2.5mm</t>
        </is>
      </c>
      <c r="F7" s="4" t="n">
        <v>1</v>
      </c>
      <c r="G7" s="5" t="inlineStr">
        <is>
          <t>Y</t>
        </is>
      </c>
      <c r="H7" s="6" t="n"/>
      <c r="I7" s="6" t="n"/>
      <c r="J7" s="6" t="n"/>
      <c r="K7" s="7" t="n"/>
      <c r="L7" s="8">
        <f>IF(G7="Y",F7*K7,0)</f>
        <v/>
      </c>
      <c r="M7" s="3" t="inlineStr">
        <is>
          <t>Load caps per crystal datasheet</t>
        </is>
      </c>
    </row>
    <row r="8" ht="15" customHeight="1" s="15">
      <c r="A8" s="3" t="inlineStr">
        <is>
          <t>Core</t>
        </is>
      </c>
      <c r="B8" s="3" t="inlineStr">
        <is>
          <t>R_XOUT</t>
        </is>
      </c>
      <c r="C8" s="3" t="inlineStr">
        <is>
          <t>Crystal series resistor</t>
        </is>
      </c>
      <c r="D8" s="3" t="inlineStr">
        <is>
          <t>1k (per design guide)</t>
        </is>
      </c>
      <c r="E8" s="3" t="inlineStr">
        <is>
          <t>0402</t>
        </is>
      </c>
      <c r="F8" s="4" t="n">
        <v>1</v>
      </c>
      <c r="G8" s="5" t="inlineStr">
        <is>
          <t>Y</t>
        </is>
      </c>
      <c r="H8" s="6" t="n"/>
      <c r="I8" s="6" t="n"/>
      <c r="J8" s="6" t="n"/>
      <c r="K8" s="7" t="n"/>
      <c r="L8" s="8">
        <f>IF(G8="Y",F8*K8,0)</f>
        <v/>
      </c>
      <c r="M8" s="3" t="n"/>
    </row>
    <row r="9" ht="15" customHeight="1" s="15">
      <c r="A9" s="3" t="inlineStr">
        <is>
          <t>Core</t>
        </is>
      </c>
      <c r="B9" s="3" t="inlineStr">
        <is>
          <t>C_XTAL</t>
        </is>
      </c>
      <c r="C9" s="3" t="inlineStr">
        <is>
          <t>Crystal load caps</t>
        </is>
      </c>
      <c r="D9" s="3" t="inlineStr">
        <is>
          <t>Value per crystal CL</t>
        </is>
      </c>
      <c r="E9" s="3" t="inlineStr">
        <is>
          <t>0402</t>
        </is>
      </c>
      <c r="F9" s="4" t="n">
        <v>2</v>
      </c>
      <c r="G9" s="5" t="inlineStr">
        <is>
          <t>Y</t>
        </is>
      </c>
      <c r="H9" s="6" t="n"/>
      <c r="I9" s="6" t="n"/>
      <c r="J9" s="6" t="n"/>
      <c r="K9" s="7" t="n"/>
      <c r="L9" s="8">
        <f>IF(G9="Y",F9*K9,0)</f>
        <v/>
      </c>
      <c r="M9" s="3" t="n"/>
    </row>
    <row r="10" ht="15" customHeight="1" s="15">
      <c r="A10" s="3" t="inlineStr">
        <is>
          <t>Core</t>
        </is>
      </c>
      <c r="B10" s="3" t="inlineStr">
        <is>
          <t>L1</t>
        </is>
      </c>
      <c r="C10" s="3" t="inlineStr">
        <is>
          <t>Core regulator inductor</t>
        </is>
      </c>
      <c r="D10" s="3" t="inlineStr">
        <is>
          <t>3.3uH</t>
        </is>
      </c>
      <c r="E10" s="3" t="inlineStr">
        <is>
          <t>Per design guide</t>
        </is>
      </c>
      <c r="F10" s="4" t="n">
        <v>1</v>
      </c>
      <c r="G10" s="5" t="inlineStr">
        <is>
          <t>Y</t>
        </is>
      </c>
      <c r="H10" s="6" t="n"/>
      <c r="I10" s="6" t="n"/>
      <c r="J10" s="6" t="n"/>
      <c r="K10" s="7" t="n"/>
      <c r="L10" s="8">
        <f>IF(G10="Y",F10*K10,0)</f>
        <v/>
      </c>
      <c r="M10" s="3" t="inlineStr">
        <is>
          <t>Per RP2350 datasheet minimal design</t>
        </is>
      </c>
    </row>
    <row r="11" ht="15" customHeight="1" s="15">
      <c r="A11" s="3" t="inlineStr">
        <is>
          <t>Core</t>
        </is>
      </c>
      <c r="B11" s="3" t="inlineStr">
        <is>
          <t>C_DEC</t>
        </is>
      </c>
      <c r="C11" s="3" t="inlineStr">
        <is>
          <t>Decoupling caps</t>
        </is>
      </c>
      <c r="D11" s="3" t="inlineStr">
        <is>
          <t>100nF</t>
        </is>
      </c>
      <c r="E11" s="3" t="inlineStr">
        <is>
          <t>0402</t>
        </is>
      </c>
      <c r="F11" s="4" t="n">
        <v>10</v>
      </c>
      <c r="G11" s="5" t="inlineStr">
        <is>
          <t>Y</t>
        </is>
      </c>
      <c r="H11" s="6" t="n"/>
      <c r="I11" s="6" t="n"/>
      <c r="J11" s="6" t="n"/>
      <c r="K11" s="7" t="n"/>
      <c r="L11" s="8">
        <f>IF(G11="Y",F11*K11,0)</f>
        <v/>
      </c>
      <c r="M11" s="3" t="inlineStr">
        <is>
          <t>Approx count - confirm against design guide</t>
        </is>
      </c>
    </row>
    <row r="12" ht="15" customHeight="1" s="15">
      <c r="A12" s="3" t="inlineStr">
        <is>
          <t>Core</t>
        </is>
      </c>
      <c r="B12" s="3" t="inlineStr">
        <is>
          <t>C_BULK</t>
        </is>
      </c>
      <c r="C12" s="3" t="inlineStr">
        <is>
          <t>Bulk / regulator caps</t>
        </is>
      </c>
      <c r="D12" s="3" t="inlineStr">
        <is>
          <t>1uF - 4.7uF</t>
        </is>
      </c>
      <c r="E12" s="3" t="inlineStr">
        <is>
          <t>0402 / 0603</t>
        </is>
      </c>
      <c r="F12" s="4" t="n">
        <v>6</v>
      </c>
      <c r="G12" s="5" t="inlineStr">
        <is>
          <t>Y</t>
        </is>
      </c>
      <c r="H12" s="6" t="n"/>
      <c r="I12" s="6" t="n"/>
      <c r="J12" s="6" t="n"/>
      <c r="K12" s="7" t="n"/>
      <c r="L12" s="8">
        <f>IF(G12="Y",F12*K12,0)</f>
        <v/>
      </c>
      <c r="M12" s="3" t="inlineStr">
        <is>
          <t>Approx count - confirm against design guide</t>
        </is>
      </c>
    </row>
    <row r="13" ht="23.85" customHeight="1" s="15">
      <c r="A13" s="3" t="inlineStr">
        <is>
          <t>Power</t>
        </is>
      </c>
      <c r="B13" s="3" t="inlineStr">
        <is>
          <t>J2</t>
        </is>
      </c>
      <c r="C13" s="3" t="inlineStr">
        <is>
          <t>USB-C receptacle (programming / ext. power)</t>
        </is>
      </c>
      <c r="D13" s="3" t="inlineStr">
        <is>
          <t>USB-C 16-pin</t>
        </is>
      </c>
      <c r="E13" s="3" t="inlineStr">
        <is>
          <t>SMT + THT tabs</t>
        </is>
      </c>
      <c r="F13" s="4" t="n">
        <v>1</v>
      </c>
      <c r="G13" s="5" t="inlineStr">
        <is>
          <t>Y</t>
        </is>
      </c>
      <c r="H13" s="6" t="n"/>
      <c r="I13" s="6" t="n"/>
      <c r="J13" s="6" t="n"/>
      <c r="K13" s="7" t="n"/>
      <c r="L13" s="8">
        <f>IF(G13="Y",F13*K13,0)</f>
        <v/>
      </c>
      <c r="M13" s="3" t="inlineStr">
        <is>
          <t>Shield tabs for strength on 1.0mm board</t>
        </is>
      </c>
    </row>
    <row r="14" ht="15" customHeight="1" s="15">
      <c r="A14" s="3" t="inlineStr">
        <is>
          <t>Power</t>
        </is>
      </c>
      <c r="B14" s="3" t="inlineStr">
        <is>
          <t>R_CC</t>
        </is>
      </c>
      <c r="C14" s="3" t="inlineStr">
        <is>
          <t>CC pull-downs</t>
        </is>
      </c>
      <c r="D14" s="3" t="inlineStr">
        <is>
          <t>5.1k</t>
        </is>
      </c>
      <c r="E14" s="3" t="inlineStr">
        <is>
          <t>0402</t>
        </is>
      </c>
      <c r="F14" s="4" t="n">
        <v>2</v>
      </c>
      <c r="G14" s="5" t="inlineStr">
        <is>
          <t>Y</t>
        </is>
      </c>
      <c r="H14" s="6" t="n"/>
      <c r="I14" s="6" t="n"/>
      <c r="J14" s="6" t="n"/>
      <c r="K14" s="7" t="n"/>
      <c r="L14" s="8">
        <f>IF(G14="Y",F14*K14,0)</f>
        <v/>
      </c>
      <c r="M14" s="3" t="n"/>
    </row>
    <row r="15" ht="15" customHeight="1" s="15">
      <c r="A15" s="3" t="inlineStr">
        <is>
          <t>Power</t>
        </is>
      </c>
      <c r="B15" s="3" t="inlineStr">
        <is>
          <t>R_USB</t>
        </is>
      </c>
      <c r="C15" s="3" t="inlineStr">
        <is>
          <t>USB series resistors</t>
        </is>
      </c>
      <c r="D15" s="3" t="inlineStr">
        <is>
          <t>27 ohm (per design guide)</t>
        </is>
      </c>
      <c r="E15" s="3" t="inlineStr">
        <is>
          <t>0402</t>
        </is>
      </c>
      <c r="F15" s="4" t="n">
        <v>2</v>
      </c>
      <c r="G15" s="5" t="inlineStr">
        <is>
          <t>Y</t>
        </is>
      </c>
      <c r="H15" s="6" t="n"/>
      <c r="I15" s="6" t="n"/>
      <c r="J15" s="6" t="n"/>
      <c r="K15" s="7" t="n"/>
      <c r="L15" s="8">
        <f>IF(G15="Y",F15*K15,0)</f>
        <v/>
      </c>
      <c r="M15" s="3" t="n"/>
    </row>
    <row r="16" ht="15" customHeight="1" s="15">
      <c r="A16" s="3" t="inlineStr">
        <is>
          <t>Power</t>
        </is>
      </c>
      <c r="B16" s="3" t="inlineStr">
        <is>
          <t>D_USB</t>
        </is>
      </c>
      <c r="C16" s="3" t="inlineStr">
        <is>
          <t>USB ESD protection</t>
        </is>
      </c>
      <c r="D16" s="3" t="inlineStr">
        <is>
          <t>Low-capacitance ESD array</t>
        </is>
      </c>
      <c r="E16" s="3" t="inlineStr">
        <is>
          <t>SOT-23-6 or similar</t>
        </is>
      </c>
      <c r="F16" s="4" t="n">
        <v>1</v>
      </c>
      <c r="G16" s="5" t="inlineStr">
        <is>
          <t>Y</t>
        </is>
      </c>
      <c r="H16" s="6" t="n"/>
      <c r="I16" s="6" t="n"/>
      <c r="J16" s="6" t="n"/>
      <c r="K16" s="7" t="n"/>
      <c r="L16" s="8">
        <f>IF(G16="Y",F16*K16,0)</f>
        <v/>
      </c>
      <c r="M16" s="3" t="n"/>
    </row>
    <row r="17" ht="15" customHeight="1" s="15">
      <c r="A17" s="3" t="inlineStr">
        <is>
          <t>Power</t>
        </is>
      </c>
      <c r="B17" s="3" t="inlineStr">
        <is>
          <t>U3</t>
        </is>
      </c>
      <c r="C17" s="3" t="inlineStr">
        <is>
          <t>3.3V LDO from VBUS</t>
        </is>
      </c>
      <c r="D17" s="3" t="inlineStr">
        <is>
          <t>LDO, &gt;=500mA</t>
        </is>
      </c>
      <c r="E17" s="3" t="inlineStr">
        <is>
          <t>SOT-223 / SOT-23-5</t>
        </is>
      </c>
      <c r="F17" s="4" t="n">
        <v>1</v>
      </c>
      <c r="G17" s="5" t="inlineStr">
        <is>
          <t>Y</t>
        </is>
      </c>
      <c r="H17" s="6" t="n"/>
      <c r="I17" s="6" t="n"/>
      <c r="J17" s="6" t="n"/>
      <c r="K17" s="7" t="n"/>
      <c r="L17" s="8">
        <f>IF(G17="Y",F17*K17,0)</f>
        <v/>
      </c>
      <c r="M17" s="3" t="n"/>
    </row>
    <row r="18" ht="23.85" customHeight="1" s="15">
      <c r="A18" s="3" t="inlineStr">
        <is>
          <t>Power</t>
        </is>
      </c>
      <c r="B18" s="3" t="inlineStr">
        <is>
          <t>D_OR</t>
        </is>
      </c>
      <c r="C18" s="3" t="inlineStr">
        <is>
          <t>Power OR-ing (badge 3.3V vs USB 3.3V)</t>
        </is>
      </c>
      <c r="D18" s="3" t="inlineStr">
        <is>
          <t>Ideal diode IC or Schottky pair</t>
        </is>
      </c>
      <c r="E18" s="3" t="inlineStr">
        <is>
          <t>Various</t>
        </is>
      </c>
      <c r="F18" s="4" t="n">
        <v>1</v>
      </c>
      <c r="G18" s="5" t="inlineStr">
        <is>
          <t>Y</t>
        </is>
      </c>
      <c r="H18" s="6" t="n"/>
      <c r="I18" s="6" t="n"/>
      <c r="J18" s="6" t="n"/>
      <c r="K18" s="7" t="n"/>
      <c r="L18" s="8">
        <f>IF(G18="Y",F18*K18,0)</f>
        <v/>
      </c>
      <c r="M18" s="3" t="inlineStr">
        <is>
          <t>Must prevent back-feed into badge rail</t>
        </is>
      </c>
    </row>
    <row r="19" ht="15" customHeight="1" s="15">
      <c r="A19" s="3" t="inlineStr">
        <is>
          <t>Power</t>
        </is>
      </c>
      <c r="B19" s="3" t="inlineStr">
        <is>
          <t>U4</t>
        </is>
      </c>
      <c r="C19" s="3" t="inlineStr">
        <is>
          <t>3.3V to 5V boost (HDMI pin 18)</t>
        </is>
      </c>
      <c r="D19" s="3" t="inlineStr">
        <is>
          <t>Small boost converter</t>
        </is>
      </c>
      <c r="E19" s="3" t="inlineStr">
        <is>
          <t>Various</t>
        </is>
      </c>
      <c r="F19" s="4" t="n">
        <v>1</v>
      </c>
      <c r="G19" s="5" t="inlineStr">
        <is>
          <t>Y</t>
        </is>
      </c>
      <c r="H19" s="6" t="n"/>
      <c r="I19" s="6" t="n"/>
      <c r="J19" s="6" t="n"/>
      <c r="K19" s="7" t="n"/>
      <c r="L19" s="8">
        <f>IF(G19="Y",F19*K19,0)</f>
        <v/>
      </c>
      <c r="M19" s="3" t="inlineStr">
        <is>
          <t>Optional - skip if monitor works without source 5V</t>
        </is>
      </c>
    </row>
    <row r="20" ht="15" customHeight="1" s="15">
      <c r="A20" s="3" t="inlineStr">
        <is>
          <t>Power</t>
        </is>
      </c>
      <c r="B20" s="3" t="inlineStr">
        <is>
          <t>F1</t>
        </is>
      </c>
      <c r="C20" s="3" t="inlineStr">
        <is>
          <t>Current limit / resettable fuse for 5V</t>
        </is>
      </c>
      <c r="D20" s="3" t="inlineStr">
        <is>
          <t>PTC or load switch</t>
        </is>
      </c>
      <c r="E20" s="3" t="inlineStr">
        <is>
          <t>0603 / SOT</t>
        </is>
      </c>
      <c r="F20" s="4" t="n">
        <v>1</v>
      </c>
      <c r="G20" s="5" t="inlineStr">
        <is>
          <t>Y</t>
        </is>
      </c>
      <c r="H20" s="6" t="n"/>
      <c r="I20" s="6" t="n"/>
      <c r="J20" s="6" t="n"/>
      <c r="K20" s="7" t="n"/>
      <c r="L20" s="8">
        <f>IF(G20="Y",F20*K20,0)</f>
        <v/>
      </c>
      <c r="M20" s="3" t="inlineStr">
        <is>
          <t>Optional with U4</t>
        </is>
      </c>
    </row>
    <row r="21" ht="23.85" customHeight="1" s="15">
      <c r="A21" s="3" t="inlineStr">
        <is>
          <t>HDMI</t>
        </is>
      </c>
      <c r="B21" s="3" t="inlineStr">
        <is>
          <t>J1</t>
        </is>
      </c>
      <c r="C21" s="3" t="inlineStr">
        <is>
          <t>Mini HDMI (type C) receptacle</t>
        </is>
      </c>
      <c r="D21" s="3" t="inlineStr">
        <is>
          <t>Mini HDMI SMT</t>
        </is>
      </c>
      <c r="E21" s="3" t="inlineStr">
        <is>
          <t>SMT + THT tabs</t>
        </is>
      </c>
      <c r="F21" s="4" t="n">
        <v>1</v>
      </c>
      <c r="G21" s="5" t="inlineStr">
        <is>
          <t>Y</t>
        </is>
      </c>
      <c r="H21" s="6" t="n"/>
      <c r="I21" s="6" t="n"/>
      <c r="J21" s="6" t="n"/>
      <c r="K21" s="7" t="n"/>
      <c r="L21" s="8">
        <f>IF(G21="Y",F21*K21,0)</f>
        <v/>
      </c>
      <c r="M21" s="3" t="inlineStr">
        <is>
          <t>Check height/fit on outline; THT tabs help mechanically</t>
        </is>
      </c>
    </row>
    <row r="22" ht="15" customHeight="1" s="15">
      <c r="A22" s="3" t="inlineStr">
        <is>
          <t>HDMI</t>
        </is>
      </c>
      <c r="B22" s="3" t="inlineStr">
        <is>
          <t>D_HDMI</t>
        </is>
      </c>
      <c r="C22" s="3" t="inlineStr">
        <is>
          <t>HDMI ESD array</t>
        </is>
      </c>
      <c r="D22" s="3" t="inlineStr">
        <is>
          <t>HDMI-rated ESD array</t>
        </is>
      </c>
      <c r="E22" s="3" t="inlineStr">
        <is>
          <t>Various</t>
        </is>
      </c>
      <c r="F22" s="4" t="n">
        <v>1</v>
      </c>
      <c r="G22" s="5" t="inlineStr">
        <is>
          <t>Y</t>
        </is>
      </c>
      <c r="H22" s="6" t="n"/>
      <c r="I22" s="6" t="n"/>
      <c r="J22" s="6" t="n"/>
      <c r="K22" s="7" t="n"/>
      <c r="L22" s="8">
        <f>IF(G22="Y",F22*K22,0)</f>
        <v/>
      </c>
      <c r="M22" s="3" t="n"/>
    </row>
    <row r="23" ht="23.85" customHeight="1" s="15">
      <c r="A23" s="3" t="inlineStr">
        <is>
          <t>HDMI</t>
        </is>
      </c>
      <c r="B23" s="3" t="inlineStr">
        <is>
          <t>R_HSTX</t>
        </is>
      </c>
      <c r="C23" s="3" t="inlineStr">
        <is>
          <t>HSTX series resistors (4 pairs, GPIO12-19)</t>
        </is>
      </c>
      <c r="D23" s="3" t="inlineStr">
        <is>
          <t>Per Adafruit Metro RP2350 HDMI section</t>
        </is>
      </c>
      <c r="E23" s="3" t="inlineStr">
        <is>
          <t>0402</t>
        </is>
      </c>
      <c r="F23" s="4" t="n">
        <v>8</v>
      </c>
      <c r="G23" s="5" t="inlineStr">
        <is>
          <t>Y</t>
        </is>
      </c>
      <c r="H23" s="6" t="n"/>
      <c r="I23" s="6" t="n"/>
      <c r="J23" s="6" t="n"/>
      <c r="K23" s="7" t="n"/>
      <c r="L23" s="8">
        <f>IF(G23="Y",F23*K23,0)</f>
        <v/>
      </c>
      <c r="M23" s="3" t="inlineStr">
        <is>
          <t>Confirm values against open schematic</t>
        </is>
      </c>
    </row>
    <row r="24" ht="15" customHeight="1" s="15">
      <c r="A24" s="3" t="inlineStr">
        <is>
          <t>HDMI</t>
        </is>
      </c>
      <c r="B24" s="3" t="inlineStr">
        <is>
          <t>R_DDC</t>
        </is>
      </c>
      <c r="C24" s="3" t="inlineStr">
        <is>
          <t>DDC (I2C) pull-ups + HPD</t>
        </is>
      </c>
      <c r="D24" s="3" t="inlineStr">
        <is>
          <t>Per HDMI section</t>
        </is>
      </c>
      <c r="E24" s="3" t="inlineStr">
        <is>
          <t>0402</t>
        </is>
      </c>
      <c r="F24" s="4" t="n">
        <v>3</v>
      </c>
      <c r="G24" s="5" t="inlineStr">
        <is>
          <t>Y</t>
        </is>
      </c>
      <c r="H24" s="6" t="n"/>
      <c r="I24" s="6" t="n"/>
      <c r="J24" s="6" t="n"/>
      <c r="K24" s="7" t="n"/>
      <c r="L24" s="8">
        <f>IF(G24="Y",F24*K24,0)</f>
        <v/>
      </c>
      <c r="M24" s="3" t="inlineStr">
        <is>
          <t>Optional - only if reading monitor EDID</t>
        </is>
      </c>
    </row>
    <row r="25" ht="15" customHeight="1" s="15">
      <c r="A25" s="3" t="inlineStr">
        <is>
          <t>UI / Debug</t>
        </is>
      </c>
      <c r="B25" s="3" t="inlineStr">
        <is>
          <t>SW1</t>
        </is>
      </c>
      <c r="C25" s="3" t="inlineStr">
        <is>
          <t>BOOTSEL button</t>
        </is>
      </c>
      <c r="D25" s="3" t="inlineStr">
        <is>
          <t>Tactile switch</t>
        </is>
      </c>
      <c r="E25" s="3" t="inlineStr">
        <is>
          <t>SMT</t>
        </is>
      </c>
      <c r="F25" s="4" t="n">
        <v>1</v>
      </c>
      <c r="G25" s="5" t="inlineStr">
        <is>
          <t>Y</t>
        </is>
      </c>
      <c r="H25" s="6" t="n"/>
      <c r="I25" s="6" t="n"/>
      <c r="J25" s="6" t="n"/>
      <c r="K25" s="7" t="n"/>
      <c r="L25" s="8">
        <f>IF(G25="Y",F25*K25,0)</f>
        <v/>
      </c>
      <c r="M25" s="3" t="inlineStr">
        <is>
          <t>Pulls flash CS low</t>
        </is>
      </c>
    </row>
    <row r="26" ht="23.85" customHeight="1" s="15">
      <c r="A26" s="3" t="inlineStr">
        <is>
          <t>UI / Debug</t>
        </is>
      </c>
      <c r="B26" s="3" t="inlineStr">
        <is>
          <t>R_SW1</t>
        </is>
      </c>
      <c r="C26" s="3" t="inlineStr">
        <is>
          <t>BOOTSEL external pull-up</t>
        </is>
      </c>
      <c r="D26" s="3" t="inlineStr">
        <is>
          <t>10k</t>
        </is>
      </c>
      <c r="E26" s="3" t="inlineStr">
        <is>
          <t>0402</t>
        </is>
      </c>
      <c r="F26" s="4" t="n">
        <v>1</v>
      </c>
      <c r="G26" s="5" t="inlineStr">
        <is>
          <t>Y</t>
        </is>
      </c>
      <c r="H26" s="6" t="n"/>
      <c r="I26" s="6" t="n"/>
      <c r="J26" s="6" t="n"/>
      <c r="K26" s="7" t="n"/>
      <c r="L26" s="8">
        <f>IF(G26="Y",F26*K26,0)</f>
        <v/>
      </c>
      <c r="M26" s="3" t="inlineStr">
        <is>
          <t>Erratum RP2350-E9 workaround - internal pulls unreliable pre-A4 stepping</t>
        </is>
      </c>
    </row>
    <row r="27" ht="15" customHeight="1" s="15">
      <c r="A27" s="3" t="inlineStr">
        <is>
          <t>UI / Debug</t>
        </is>
      </c>
      <c r="B27" s="3" t="inlineStr">
        <is>
          <t>SW2</t>
        </is>
      </c>
      <c r="C27" s="3" t="inlineStr">
        <is>
          <t>RUN (reset) button</t>
        </is>
      </c>
      <c r="D27" s="3" t="inlineStr">
        <is>
          <t>Tactile switch</t>
        </is>
      </c>
      <c r="E27" s="3" t="inlineStr">
        <is>
          <t>SMT</t>
        </is>
      </c>
      <c r="F27" s="4" t="n">
        <v>1</v>
      </c>
      <c r="G27" s="5" t="inlineStr">
        <is>
          <t>Y</t>
        </is>
      </c>
      <c r="H27" s="6" t="n"/>
      <c r="I27" s="6" t="n"/>
      <c r="J27" s="6" t="n"/>
      <c r="K27" s="7" t="n"/>
      <c r="L27" s="8">
        <f>IF(G27="Y",F27*K27,0)</f>
        <v/>
      </c>
      <c r="M27" s="3" t="n"/>
    </row>
    <row r="28" ht="23.85" customHeight="1" s="15">
      <c r="A28" s="3" t="inlineStr">
        <is>
          <t>UI / Debug</t>
        </is>
      </c>
      <c r="B28" s="3" t="inlineStr">
        <is>
          <t>R_SW2</t>
        </is>
      </c>
      <c r="C28" s="3" t="inlineStr">
        <is>
          <t>RUN external pull-up</t>
        </is>
      </c>
      <c r="D28" s="3" t="inlineStr">
        <is>
          <t>10k</t>
        </is>
      </c>
      <c r="E28" s="3" t="inlineStr">
        <is>
          <t>0402</t>
        </is>
      </c>
      <c r="F28" s="4" t="n">
        <v>1</v>
      </c>
      <c r="G28" s="5" t="inlineStr">
        <is>
          <t>Y</t>
        </is>
      </c>
      <c r="H28" s="6" t="n"/>
      <c r="I28" s="6" t="n"/>
      <c r="J28" s="6" t="n"/>
      <c r="K28" s="7" t="n"/>
      <c r="L28" s="8">
        <f>IF(G28="Y",F28*K28,0)</f>
        <v/>
      </c>
      <c r="M28" s="3" t="inlineStr">
        <is>
          <t>Standard practice for reset line + erratum RP2350-E9 workaround</t>
        </is>
      </c>
    </row>
    <row r="29" ht="15" customHeight="1" s="15">
      <c r="A29" s="3" t="inlineStr">
        <is>
          <t>UI / Debug</t>
        </is>
      </c>
      <c r="B29" s="3" t="inlineStr">
        <is>
          <t>C_SW2</t>
        </is>
      </c>
      <c r="C29" s="3" t="inlineStr">
        <is>
          <t>RUN debounce cap</t>
        </is>
      </c>
      <c r="D29" s="3" t="inlineStr">
        <is>
          <t>100nF</t>
        </is>
      </c>
      <c r="E29" s="3" t="inlineStr">
        <is>
          <t>0402</t>
        </is>
      </c>
      <c r="F29" s="4" t="n">
        <v>1</v>
      </c>
      <c r="G29" s="5" t="inlineStr">
        <is>
          <t>Y</t>
        </is>
      </c>
      <c r="H29" s="6" t="n"/>
      <c r="I29" s="6" t="n"/>
      <c r="J29" s="6" t="n"/>
      <c r="K29" s="7" t="n"/>
      <c r="L29" s="8">
        <f>IF(G29="Y",F29*K29,0)</f>
        <v/>
      </c>
      <c r="M29" s="3" t="inlineStr">
        <is>
          <t>To GND, for reset debounce</t>
        </is>
      </c>
    </row>
    <row r="30" ht="15" customHeight="1" s="15">
      <c r="A30" s="3" t="inlineStr">
        <is>
          <t>UI / Debug</t>
        </is>
      </c>
      <c r="B30" s="3" t="inlineStr">
        <is>
          <t>SW3</t>
        </is>
      </c>
      <c r="C30" s="3" t="inlineStr">
        <is>
          <t>User button</t>
        </is>
      </c>
      <c r="D30" s="3" t="inlineStr">
        <is>
          <t>Tactile switch</t>
        </is>
      </c>
      <c r="E30" s="3" t="inlineStr">
        <is>
          <t>SMT</t>
        </is>
      </c>
      <c r="F30" s="4" t="n">
        <v>1</v>
      </c>
      <c r="G30" s="5" t="inlineStr">
        <is>
          <t>Y</t>
        </is>
      </c>
      <c r="H30" s="6" t="n"/>
      <c r="I30" s="6" t="n"/>
      <c r="J30" s="6" t="n"/>
      <c r="K30" s="7" t="n"/>
      <c r="L30" s="8">
        <f>IF(G30="Y",F30*K30,0)</f>
        <v/>
      </c>
      <c r="M30" s="3" t="inlineStr">
        <is>
          <t>Wire to a spare GPIO</t>
        </is>
      </c>
    </row>
    <row r="31" ht="23.85" customHeight="1" s="15">
      <c r="A31" s="3" t="inlineStr">
        <is>
          <t>UI / Debug</t>
        </is>
      </c>
      <c r="B31" s="3" t="inlineStr">
        <is>
          <t>R_SW3</t>
        </is>
      </c>
      <c r="C31" s="3" t="inlineStr">
        <is>
          <t>User button external pull-up</t>
        </is>
      </c>
      <c r="D31" s="3" t="inlineStr">
        <is>
          <t>10k</t>
        </is>
      </c>
      <c r="E31" s="3" t="inlineStr">
        <is>
          <t>0402</t>
        </is>
      </c>
      <c r="F31" s="4" t="n">
        <v>1</v>
      </c>
      <c r="G31" s="5" t="inlineStr">
        <is>
          <t>Y</t>
        </is>
      </c>
      <c r="H31" s="6" t="n"/>
      <c r="I31" s="6" t="n"/>
      <c r="J31" s="6" t="n"/>
      <c r="K31" s="7" t="n"/>
      <c r="L31" s="8">
        <f>IF(G31="Y",F31*K31,0)</f>
        <v/>
      </c>
      <c r="M31" s="3" t="inlineStr">
        <is>
          <t>Erratum RP2350-E9 workaround - internal pulls unreliable pre-A4 stepping</t>
        </is>
      </c>
    </row>
    <row r="32" ht="23.85" customHeight="1" s="15">
      <c r="A32" s="3" t="inlineStr">
        <is>
          <t>UI / Debug</t>
        </is>
      </c>
      <c r="B32" s="3" t="inlineStr">
        <is>
          <t>J3</t>
        </is>
      </c>
      <c r="C32" s="3" t="inlineStr">
        <is>
          <t>SWD debug header</t>
        </is>
      </c>
      <c r="D32" s="3" t="inlineStr">
        <is>
          <t>3-pin header (SWCLK, SWDIO, GND)</t>
        </is>
      </c>
      <c r="E32" s="3" t="inlineStr">
        <is>
          <t>2.54mm or Tag-Connect</t>
        </is>
      </c>
      <c r="F32" s="4" t="n">
        <v>1</v>
      </c>
      <c r="G32" s="5" t="inlineStr">
        <is>
          <t>N</t>
        </is>
      </c>
      <c r="H32" s="6" t="n"/>
      <c r="I32" s="6" t="n"/>
      <c r="J32" s="6" t="n"/>
      <c r="K32" s="7" t="n"/>
      <c r="L32" s="8">
        <f>IF(G32="Y",F32*K32,0)</f>
        <v/>
      </c>
      <c r="M32" s="3" t="inlineStr">
        <is>
          <t>Footprint only; hand-solder if wanted</t>
        </is>
      </c>
    </row>
    <row r="33" ht="15" customHeight="1" s="15">
      <c r="A33" s="3" t="inlineStr">
        <is>
          <t>UI / Debug</t>
        </is>
      </c>
      <c r="B33" s="3" t="inlineStr">
        <is>
          <t>J4</t>
        </is>
      </c>
      <c r="C33" s="3" t="inlineStr">
        <is>
          <t>I2C + spare GPIO pads / header</t>
        </is>
      </c>
      <c r="D33" s="3" t="inlineStr">
        <is>
          <t>Pin header</t>
        </is>
      </c>
      <c r="E33" s="3" t="inlineStr">
        <is>
          <t>2.54mm</t>
        </is>
      </c>
      <c r="F33" s="4" t="n">
        <v>1</v>
      </c>
      <c r="G33" s="5" t="inlineStr">
        <is>
          <t>N</t>
        </is>
      </c>
      <c r="H33" s="6" t="n"/>
      <c r="I33" s="6" t="n"/>
      <c r="J33" s="6" t="n"/>
      <c r="K33" s="7" t="n"/>
      <c r="L33" s="8">
        <f>IF(G33="Y",F33*K33,0)</f>
        <v/>
      </c>
      <c r="M33" s="3" t="inlineStr">
        <is>
          <t>Footprint only</t>
        </is>
      </c>
    </row>
    <row r="34" ht="15" customHeight="1" s="15">
      <c r="A34" s="3" t="inlineStr">
        <is>
          <t>Indicators</t>
        </is>
      </c>
      <c r="B34" s="3" t="inlineStr">
        <is>
          <t>D_3V3</t>
        </is>
      </c>
      <c r="C34" s="3" t="inlineStr">
        <is>
          <t>3V3 power indicator LED</t>
        </is>
      </c>
      <c r="D34" s="3" t="inlineStr">
        <is>
          <t>Green LED, 2mA-class</t>
        </is>
      </c>
      <c r="E34" s="3" t="inlineStr">
        <is>
          <t>0603</t>
        </is>
      </c>
      <c r="F34" s="4" t="n">
        <v>1</v>
      </c>
      <c r="G34" s="5" t="inlineStr">
        <is>
          <t>Y</t>
        </is>
      </c>
      <c r="H34" s="6" t="n"/>
      <c r="I34" s="6" t="n"/>
      <c r="J34" s="6" t="n"/>
      <c r="K34" s="7" t="n"/>
      <c r="L34" s="8">
        <f>IF(G34="Y",F34*K34,0)</f>
        <v/>
      </c>
      <c r="M34" s="3" t="inlineStr">
        <is>
          <t>On badge/board 3V3 rail</t>
        </is>
      </c>
    </row>
    <row r="35" ht="15" customHeight="1" s="15">
      <c r="A35" s="3" t="inlineStr">
        <is>
          <t>Indicators</t>
        </is>
      </c>
      <c r="B35" s="3" t="inlineStr">
        <is>
          <t>R_3V3</t>
        </is>
      </c>
      <c r="C35" s="3" t="inlineStr">
        <is>
          <t>3V3 LED series resistor</t>
        </is>
      </c>
      <c r="D35" s="3" t="inlineStr">
        <is>
          <t>~1k (for 3.3V, 2mA green LED)</t>
        </is>
      </c>
      <c r="E35" s="3" t="inlineStr">
        <is>
          <t>0402</t>
        </is>
      </c>
      <c r="F35" s="4" t="n">
        <v>1</v>
      </c>
      <c r="G35" s="5" t="inlineStr">
        <is>
          <t>Y</t>
        </is>
      </c>
      <c r="H35" s="6" t="n"/>
      <c r="I35" s="6" t="n"/>
      <c r="J35" s="6" t="n"/>
      <c r="K35" s="7" t="n"/>
      <c r="L35" s="8">
        <f>IF(G35="Y",F35*K35,0)</f>
        <v/>
      </c>
      <c r="M35" s="3" t="inlineStr">
        <is>
          <t>Recalc for actual LED Vf/If</t>
        </is>
      </c>
    </row>
    <row r="36" ht="15" customHeight="1" s="15">
      <c r="A36" s="3" t="inlineStr">
        <is>
          <t>Indicators</t>
        </is>
      </c>
      <c r="B36" s="3" t="inlineStr">
        <is>
          <t>D_5V</t>
        </is>
      </c>
      <c r="C36" s="3" t="inlineStr">
        <is>
          <t>5V power indicator LED</t>
        </is>
      </c>
      <c r="D36" s="3" t="inlineStr">
        <is>
          <t>Red or amber LED, 2mA-class</t>
        </is>
      </c>
      <c r="E36" s="3" t="inlineStr">
        <is>
          <t>0603</t>
        </is>
      </c>
      <c r="F36" s="4" t="n">
        <v>1</v>
      </c>
      <c r="G36" s="5" t="inlineStr">
        <is>
          <t>Y</t>
        </is>
      </c>
      <c r="H36" s="6" t="n"/>
      <c r="I36" s="6" t="n"/>
      <c r="J36" s="6" t="n"/>
      <c r="K36" s="7" t="n"/>
      <c r="L36" s="8">
        <f>IF(G36="Y",F36*K36,0)</f>
        <v/>
      </c>
      <c r="M36" s="3" t="inlineStr">
        <is>
          <t>On 5V rail (from boost/USB); only if 5V present</t>
        </is>
      </c>
    </row>
    <row r="37" ht="15" customHeight="1" s="15">
      <c r="A37" s="3" t="inlineStr">
        <is>
          <t>Indicators</t>
        </is>
      </c>
      <c r="B37" s="3" t="inlineStr">
        <is>
          <t>R_5V</t>
        </is>
      </c>
      <c r="C37" s="3" t="inlineStr">
        <is>
          <t>5V LED series resistor</t>
        </is>
      </c>
      <c r="D37" s="3" t="inlineStr">
        <is>
          <t>~2.2k (for 5V, 2mA LED)</t>
        </is>
      </c>
      <c r="E37" s="3" t="inlineStr">
        <is>
          <t>0402</t>
        </is>
      </c>
      <c r="F37" s="4" t="n">
        <v>1</v>
      </c>
      <c r="G37" s="5" t="inlineStr">
        <is>
          <t>Y</t>
        </is>
      </c>
      <c r="H37" s="6" t="n"/>
      <c r="I37" s="6" t="n"/>
      <c r="J37" s="6" t="n"/>
      <c r="K37" s="7" t="n"/>
      <c r="L37" s="8">
        <f>IF(G37="Y",F37*K37,0)</f>
        <v/>
      </c>
      <c r="M37" s="3" t="inlineStr">
        <is>
          <t>Recalc for actual LED Vf/If</t>
        </is>
      </c>
    </row>
    <row r="38" ht="15" customHeight="1" s="15">
      <c r="A38" s="3" t="inlineStr">
        <is>
          <t>Indicators</t>
        </is>
      </c>
      <c r="B38" s="3" t="inlineStr">
        <is>
          <t>D_USR</t>
        </is>
      </c>
      <c r="C38" s="3" t="inlineStr">
        <is>
          <t>User/status LED (GPIO-driven)</t>
        </is>
      </c>
      <c r="D38" s="3" t="inlineStr">
        <is>
          <t>LED, any colour</t>
        </is>
      </c>
      <c r="E38" s="3" t="inlineStr">
        <is>
          <t>0603</t>
        </is>
      </c>
      <c r="F38" s="4" t="n">
        <v>1</v>
      </c>
      <c r="G38" s="5" t="inlineStr">
        <is>
          <t>Y</t>
        </is>
      </c>
      <c r="H38" s="6" t="n"/>
      <c r="I38" s="6" t="n"/>
      <c r="J38" s="6" t="n"/>
      <c r="K38" s="7" t="n"/>
      <c r="L38" s="8">
        <f>IF(G38="Y",F38*K38,0)</f>
        <v/>
      </c>
      <c r="M38" s="3" t="inlineStr">
        <is>
          <t>Drive from a spare GPIO</t>
        </is>
      </c>
    </row>
    <row r="39" ht="15" customHeight="1" s="15">
      <c r="A39" s="3" t="inlineStr">
        <is>
          <t>Indicators</t>
        </is>
      </c>
      <c r="B39" s="3" t="inlineStr">
        <is>
          <t>R_USR</t>
        </is>
      </c>
      <c r="C39" s="3" t="inlineStr">
        <is>
          <t>User LED series resistor</t>
        </is>
      </c>
      <c r="D39" s="3" t="inlineStr">
        <is>
          <t>~330 ohm (for 3.3V GPIO, ~5-10mA)</t>
        </is>
      </c>
      <c r="E39" s="3" t="inlineStr">
        <is>
          <t>0402</t>
        </is>
      </c>
      <c r="F39" s="4" t="n">
        <v>1</v>
      </c>
      <c r="G39" s="5" t="inlineStr">
        <is>
          <t>Y</t>
        </is>
      </c>
      <c r="H39" s="6" t="n"/>
      <c r="I39" s="6" t="n"/>
      <c r="J39" s="6" t="n"/>
      <c r="K39" s="7" t="n"/>
      <c r="L39" s="8">
        <f>IF(G39="Y",F39*K39,0)</f>
        <v/>
      </c>
      <c r="M39" s="3" t="inlineStr">
        <is>
          <t>Recalc for chosen LED and GPIO drive current</t>
        </is>
      </c>
    </row>
    <row r="40" ht="15" customHeight="1" s="15">
      <c r="A40" s="3" t="inlineStr">
        <is>
          <t>Indicators</t>
        </is>
      </c>
      <c r="B40" s="3" t="inlineStr">
        <is>
          <t>D_NP1</t>
        </is>
      </c>
      <c r="C40" s="3" t="inlineStr">
        <is>
          <t>NeoPixel (WS2812/SK6812)</t>
        </is>
      </c>
      <c r="D40" s="3" t="inlineStr">
        <is>
          <t>Addressable RGB LED</t>
        </is>
      </c>
      <c r="E40" s="3" t="inlineStr">
        <is>
          <t>5050 SMD</t>
        </is>
      </c>
      <c r="F40" s="4" t="n">
        <v>1</v>
      </c>
      <c r="G40" s="5" t="inlineStr">
        <is>
          <t>Y</t>
        </is>
      </c>
      <c r="H40" s="6" t="n"/>
      <c r="I40" s="6" t="n"/>
      <c r="J40" s="6" t="n"/>
      <c r="K40" s="7" t="n"/>
      <c r="L40" s="8">
        <f>IF(G40="Y",F40*K40,0)</f>
        <v/>
      </c>
      <c r="M40" s="3" t="inlineStr">
        <is>
          <t>Qty placeholder - set to how many pixels wanted</t>
        </is>
      </c>
    </row>
    <row r="41" ht="23.85" customHeight="1" s="15">
      <c r="A41" s="3" t="inlineStr">
        <is>
          <t>Indicators</t>
        </is>
      </c>
      <c r="B41" s="3" t="inlineStr">
        <is>
          <t>R_NP_DATA</t>
        </is>
      </c>
      <c r="C41" s="3" t="inlineStr">
        <is>
          <t>NeoPixel data line series resistor</t>
        </is>
      </c>
      <c r="D41" s="3" t="inlineStr">
        <is>
          <t>330-470 ohm</t>
        </is>
      </c>
      <c r="E41" s="3" t="inlineStr">
        <is>
          <t>0402</t>
        </is>
      </c>
      <c r="F41" s="4" t="n">
        <v>1</v>
      </c>
      <c r="G41" s="5" t="inlineStr">
        <is>
          <t>Y</t>
        </is>
      </c>
      <c r="H41" s="6" t="n"/>
      <c r="I41" s="6" t="n"/>
      <c r="J41" s="6" t="n"/>
      <c r="K41" s="7" t="n"/>
      <c r="L41" s="8">
        <f>IF(G41="Y",F41*K41,0)</f>
        <v/>
      </c>
      <c r="M41" s="3" t="inlineStr">
        <is>
          <t>Between GPIO and first pixel's DIN; protects against overshoot</t>
        </is>
      </c>
    </row>
    <row r="42" ht="15" customHeight="1" s="15">
      <c r="A42" s="3" t="inlineStr">
        <is>
          <t>Indicators</t>
        </is>
      </c>
      <c r="B42" s="3" t="inlineStr">
        <is>
          <t>C_NP</t>
        </is>
      </c>
      <c r="C42" s="3" t="inlineStr">
        <is>
          <t>NeoPixel decoupling cap</t>
        </is>
      </c>
      <c r="D42" s="3" t="inlineStr">
        <is>
          <t>100nF-1uF per pixel, close to VDD/GND</t>
        </is>
      </c>
      <c r="E42" s="3" t="inlineStr">
        <is>
          <t>0402/0603</t>
        </is>
      </c>
      <c r="F42" s="4" t="n">
        <v>1</v>
      </c>
      <c r="G42" s="5" t="inlineStr">
        <is>
          <t>Y</t>
        </is>
      </c>
      <c r="H42" s="6" t="n"/>
      <c r="I42" s="6" t="n"/>
      <c r="J42" s="6" t="n"/>
      <c r="K42" s="7" t="n"/>
      <c r="L42" s="8">
        <f>IF(G42="Y",F42*K42,0)</f>
        <v/>
      </c>
      <c r="M42" s="3" t="inlineStr">
        <is>
          <t>One per pixel, placed right at the LED</t>
        </is>
      </c>
    </row>
    <row r="43" ht="23.85" customHeight="1" s="15">
      <c r="A43" s="3" t="inlineStr">
        <is>
          <t>Hexpansion</t>
        </is>
      </c>
      <c r="B43" s="3" t="inlineStr">
        <is>
          <t>U5</t>
        </is>
      </c>
      <c r="C43" s="3" t="inlineStr">
        <is>
          <t>ID EEPROM</t>
        </is>
      </c>
      <c r="D43" s="3" t="inlineStr">
        <is>
          <t>Per hexpansion spec</t>
        </is>
      </c>
      <c r="E43" s="3" t="inlineStr">
        <is>
          <t>SOIC-8 / TSSOP-8</t>
        </is>
      </c>
      <c r="F43" s="4" t="n">
        <v>1</v>
      </c>
      <c r="G43" s="5" t="inlineStr">
        <is>
          <t>N</t>
        </is>
      </c>
      <c r="H43" s="6" t="n"/>
      <c r="I43" s="6" t="n"/>
      <c r="J43" s="6" t="n"/>
      <c r="K43" s="7" t="n"/>
      <c r="L43" s="8">
        <f>IF(G43="Y",F43*K43,0)</f>
        <v/>
      </c>
      <c r="M43" s="3" t="inlineStr">
        <is>
          <t>Footprint only - not populated; confirm part/address in spec</t>
        </is>
      </c>
    </row>
    <row r="44" ht="15" customHeight="1" s="15">
      <c r="A44" s="3" t="inlineStr">
        <is>
          <t>Hexpansion</t>
        </is>
      </c>
      <c r="B44" s="3" t="inlineStr">
        <is>
          <t>R_I2C</t>
        </is>
      </c>
      <c r="C44" s="3" t="inlineStr">
        <is>
          <t>I2C pull-ups</t>
        </is>
      </c>
      <c r="D44" s="3" t="inlineStr">
        <is>
          <t>Per bus voltage</t>
        </is>
      </c>
      <c r="E44" s="3" t="inlineStr">
        <is>
          <t>0402</t>
        </is>
      </c>
      <c r="F44" s="4" t="n">
        <v>2</v>
      </c>
      <c r="G44" s="5" t="inlineStr">
        <is>
          <t>Y</t>
        </is>
      </c>
      <c r="H44" s="6" t="n"/>
      <c r="I44" s="6" t="n"/>
      <c r="J44" s="6" t="n"/>
      <c r="K44" s="7" t="n"/>
      <c r="L44" s="8">
        <f>IF(G44="Y",F44*K44,0)</f>
        <v/>
      </c>
      <c r="M44" s="3" t="n"/>
    </row>
    <row r="45" ht="15" customHeight="1" s="15">
      <c r="A45" s="3" t="inlineStr">
        <is>
          <t>Test</t>
        </is>
      </c>
      <c r="B45" s="3" t="inlineStr">
        <is>
          <t>TP1-TP3</t>
        </is>
      </c>
      <c r="C45" s="3" t="inlineStr">
        <is>
          <t>Test points 3V3 / 5V / GND</t>
        </is>
      </c>
      <c r="D45" s="3" t="inlineStr">
        <is>
          <t>Test pads</t>
        </is>
      </c>
      <c r="E45" s="3" t="inlineStr">
        <is>
          <t>SMD pad</t>
        </is>
      </c>
      <c r="F45" s="4" t="n">
        <v>3</v>
      </c>
      <c r="G45" s="5" t="inlineStr">
        <is>
          <t>N</t>
        </is>
      </c>
      <c r="H45" s="6" t="n"/>
      <c r="I45" s="6" t="n"/>
      <c r="J45" s="6" t="n"/>
      <c r="K45" s="7" t="n"/>
      <c r="L45" s="8">
        <f>IF(G45="Y",F45*K45,0)</f>
        <v/>
      </c>
      <c r="M45" s="3" t="inlineStr">
        <is>
          <t>Bare pads, no assembly</t>
        </is>
      </c>
    </row>
    <row r="46" s="15"/>
    <row r="47" ht="15" customHeight="1" s="15">
      <c r="K47" s="9" t="inlineStr">
        <is>
          <t>Assembled line items</t>
        </is>
      </c>
      <c r="L47" s="10">
        <f>COUNTIF(G5:G45,"Y")</f>
        <v/>
      </c>
    </row>
    <row r="48" ht="15" customHeight="1" s="15">
      <c r="K48" s="9" t="inlineStr">
        <is>
          <t>Unique Extended parts (setup fee each)</t>
        </is>
      </c>
      <c r="L48" s="10">
        <f>COUNTIF(I5:I45,"Extended")</f>
        <v/>
      </c>
    </row>
    <row r="49" ht="15" customHeight="1" s="15">
      <c r="K49" s="9" t="inlineStr">
        <is>
          <t>Assembly setup fee (USD)</t>
        </is>
      </c>
      <c r="L49" s="11" t="n">
        <v>8</v>
      </c>
    </row>
    <row r="50" ht="15" customHeight="1" s="15">
      <c r="K50" s="9" t="inlineStr">
        <is>
          <t>Extended fee per part (USD)</t>
        </is>
      </c>
      <c r="L50" s="11" t="n">
        <v>3</v>
      </c>
    </row>
    <row r="51" ht="15" customHeight="1" s="15">
      <c r="K51" s="9" t="inlineStr">
        <is>
          <t>Extended parts fee (USD)</t>
        </is>
      </c>
      <c r="L51" s="12">
        <f>L48*L50</f>
        <v/>
      </c>
    </row>
    <row r="52" ht="15" customHeight="1" s="15">
      <c r="K52" s="9" t="inlineStr">
        <is>
          <t>Parts cost per board (USD)</t>
        </is>
      </c>
      <c r="L52" s="12">
        <f>SUM(L5:L45)</f>
        <v/>
      </c>
    </row>
    <row r="53" ht="15" customHeight="1" s="15">
      <c r="K53" s="9" t="inlineStr">
        <is>
          <t>Boards in run</t>
        </is>
      </c>
      <c r="L53" s="13" t="n">
        <v>5</v>
      </c>
    </row>
    <row r="54" ht="15" customHeight="1" s="15">
      <c r="K54" s="9" t="inlineStr">
        <is>
          <t>Parts cost for run (USD)</t>
        </is>
      </c>
      <c r="L54" s="12">
        <f>L52*L53</f>
        <v/>
      </c>
    </row>
    <row r="55" ht="15" customHeight="1" s="15">
      <c r="K55" s="14" t="inlineStr">
        <is>
          <t>Assumptions: setup fee and Extended fee are placeholders I entered (roughly typical JLCPCB figures, not verified) - update from the current JLCPCB pricing page. Board count is 5 as suggested; PCB fabrication and shipping/VAT are not included.</t>
        </is>
      </c>
    </row>
    <row r="56" ht="15" customHeight="1" s="15"/>
    <row r="57" ht="15" customHeight="1" s="15"/>
    <row r="58" s="15"/>
  </sheetData>
  <mergeCells count="2">
    <mergeCell ref="A2:M2"/>
    <mergeCell ref="K55:M57"/>
  </mergeCells>
  <dataValidations count="2">
    <dataValidation sqref="G5:G45" showDropDown="0" showInputMessage="0" showErrorMessage="0" allowBlank="0" type="list">
      <formula1>"Y,N"</formula1>
      <formula2>0</formula2>
    </dataValidation>
    <dataValidation sqref="I5:I45" showDropDown="0" showInputMessage="0" showErrorMessage="0" allowBlank="1" type="list">
      <formula1>"Basic,Extended,Not at LCSC"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2026-09-28T17:36:32Z</dcterms:created>
  <dcterms:modified xsi:type="dcterms:W3CDTF">2026-09-28T20:57:30Z</dcterms:modified>
  <cp:lastModifiedBy>Brian Corteil</cp:lastModifiedBy>
  <cp:revision>0</cp:revision>
</cp:coreProperties>
</file>