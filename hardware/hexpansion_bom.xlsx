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8800" windowHeight="17685" tabRatio="500" firstSheet="0" activeTab="0" autoFilterDateGrouping="1"/>
  </bookViews>
  <sheets>
    <sheet name="BOM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$#,##0.000"/>
    <numFmt numFmtId="165" formatCode="\$#,##0.00;&quot;($&quot;#,##0.00\);\-"/>
    <numFmt numFmtId="166" formatCode="\$#,##0.00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" fontId="4" fillId="0" borderId="0" pivotButton="0" quotePrefix="0" xfId="0"/>
    <xf numFmtId="166" fontId="5" fillId="3" borderId="0" pivotButton="0" quotePrefix="0" xfId="0"/>
    <xf numFmtId="166" fontId="4" fillId="0" borderId="0" pivotButton="0" quotePrefix="0" xfId="0"/>
    <xf numFmtId="1" fontId="5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baseColWidth="8" defaultColWidth="8.7109375" defaultRowHeight="15"/>
  <cols>
    <col width="12" customWidth="1" style="15" min="1" max="2"/>
    <col width="32" customWidth="1" style="15" min="3" max="3"/>
    <col width="34" customWidth="1" style="15" min="4" max="4"/>
    <col width="18" customWidth="1" style="15" min="5" max="5"/>
    <col width="6" customWidth="1" style="15" min="6" max="6"/>
    <col width="11" customWidth="1" style="15" min="7" max="7"/>
    <col width="12" customWidth="1" style="15" min="8" max="8"/>
    <col width="14" customWidth="1" style="15" min="9" max="9"/>
    <col width="9" customWidth="1" style="15" min="10" max="10"/>
    <col width="12" customWidth="1" style="15" min="11" max="11"/>
    <col width="13" customWidth="1" style="15" min="12" max="12"/>
    <col width="44" customWidth="1" style="15" min="13" max="13"/>
  </cols>
  <sheetData>
    <row r="1" ht="17.45" customHeight="1" s="15">
      <c r="A1" s="1" t="inlineStr">
        <is>
          <t>RP2350 HDMI Hexpansion - BOM tracker (1.0mm PCB, single-sided assembly)</t>
        </is>
      </c>
    </row>
    <row r="2" ht="30" customHeight="1" s="15">
      <c r="A2" s="14" t="inlineStr">
        <is>
          <t>Legend: yellow cells are yours to fill in. LCSC # format is C followed by digits (e.g. C12345 - placeholder format only). Check Basic/Extended and Stock in the JLCPCB parts library before committing to a footprint.</t>
        </is>
      </c>
    </row>
    <row r="3" s="15"/>
    <row r="4" ht="31.5" customHeight="1" s="15">
      <c r="A4" s="2" t="inlineStr">
        <is>
          <t>Section</t>
        </is>
      </c>
      <c r="B4" s="2" t="inlineStr">
        <is>
          <t>Ref (KiCad)</t>
        </is>
      </c>
      <c r="C4" s="2" t="inlineStr">
        <is>
          <t>Function</t>
        </is>
      </c>
      <c r="D4" s="2" t="inlineStr">
        <is>
          <t>Suggested part / value</t>
        </is>
      </c>
      <c r="E4" s="2" t="inlineStr">
        <is>
          <t>Package</t>
        </is>
      </c>
      <c r="F4" s="2" t="inlineStr">
        <is>
          <t>Qty</t>
        </is>
      </c>
      <c r="G4" s="2" t="inlineStr">
        <is>
          <t>Assemble? (Y/N)</t>
        </is>
      </c>
      <c r="H4" s="2" t="inlineStr">
        <is>
          <t>LCSC #</t>
        </is>
      </c>
      <c r="I4" s="2" t="inlineStr">
        <is>
          <t>Basic / Extended</t>
        </is>
      </c>
      <c r="J4" s="2" t="inlineStr">
        <is>
          <t>Stock</t>
        </is>
      </c>
      <c r="K4" s="2" t="inlineStr">
        <is>
          <t>Unit cost (USD)</t>
        </is>
      </c>
      <c r="L4" s="2" t="inlineStr">
        <is>
          <t>Line total (USD)</t>
        </is>
      </c>
      <c r="M4" s="2" t="inlineStr">
        <is>
          <t>Notes</t>
        </is>
      </c>
    </row>
    <row r="5" ht="23.85" customHeight="1" s="15">
      <c r="A5" s="3" t="inlineStr">
        <is>
          <t>Core</t>
        </is>
      </c>
      <c r="B5" s="3" t="inlineStr">
        <is>
          <t>C1,C2,C3,C4,C5,C6,C7,C10,C11,C12,C20,C32,C33</t>
        </is>
      </c>
      <c r="C5" s="3" t="inlineStr">
        <is>
          <t>Decoupling</t>
        </is>
      </c>
      <c r="D5" s="3" t="inlineStr">
        <is>
          <t>CL05B104KO5NNNC (100nF)</t>
        </is>
      </c>
      <c r="E5" s="3" t="inlineStr">
        <is>
          <t>C0402</t>
        </is>
      </c>
      <c r="F5" s="4" t="n">
        <v>13</v>
      </c>
      <c r="G5" s="5" t="inlineStr">
        <is>
          <t>Y</t>
        </is>
      </c>
      <c r="H5" s="6" t="inlineStr">
        <is>
          <t>C1525</t>
        </is>
      </c>
      <c r="I5" s="6" t="inlineStr">
        <is>
          <t>Basic</t>
        </is>
      </c>
      <c r="J5" s="6" t="n">
        <v>16407331</v>
      </c>
      <c r="K5" s="7" t="n">
        <v>0.006</v>
      </c>
      <c r="L5" s="8">
        <f>IF(G5="Y",F5*K5,0)</f>
        <v/>
      </c>
      <c r="M5" s="3" t="n"/>
    </row>
    <row r="6" ht="15" customHeight="1" s="15">
      <c r="A6" s="3" t="inlineStr">
        <is>
          <t>Core</t>
        </is>
      </c>
      <c r="B6" s="3" t="inlineStr">
        <is>
          <t>C13,C14,C15</t>
        </is>
      </c>
      <c r="C6" s="3" t="inlineStr">
        <is>
          <t>Regulator caps</t>
        </is>
      </c>
      <c r="D6" s="3" t="inlineStr">
        <is>
          <t>CL05A475MP5NRNC (4.7uF)</t>
        </is>
      </c>
      <c r="E6" s="3" t="inlineStr">
        <is>
          <t>C0402</t>
        </is>
      </c>
      <c r="F6" s="4" t="n">
        <v>3</v>
      </c>
      <c r="G6" s="5" t="inlineStr">
        <is>
          <t>Y</t>
        </is>
      </c>
      <c r="H6" s="6" t="inlineStr">
        <is>
          <t>C23733</t>
        </is>
      </c>
      <c r="I6" s="6" t="inlineStr">
        <is>
          <t>Basic</t>
        </is>
      </c>
      <c r="J6" s="6" t="n">
        <v>964426</v>
      </c>
      <c r="K6" s="7" t="n">
        <v>0.0192</v>
      </c>
      <c r="L6" s="8">
        <f>IF(G6="Y",F6*K6,0)</f>
        <v/>
      </c>
      <c r="M6" s="3" t="n"/>
    </row>
    <row r="7" ht="15" customHeight="1" s="15">
      <c r="A7" s="3" t="inlineStr">
        <is>
          <t>Core</t>
        </is>
      </c>
      <c r="B7" s="3" t="inlineStr">
        <is>
          <t>C16,C21,C23,C25</t>
        </is>
      </c>
      <c r="C7" s="3" t="inlineStr">
        <is>
          <t>Bulk / regulator caps</t>
        </is>
      </c>
      <c r="D7" s="3" t="inlineStr">
        <is>
          <t>CL10A106KP8NNNC (10uF)</t>
        </is>
      </c>
      <c r="E7" s="3" t="inlineStr">
        <is>
          <t>C0603</t>
        </is>
      </c>
      <c r="F7" s="4" t="n">
        <v>4</v>
      </c>
      <c r="G7" s="5" t="inlineStr">
        <is>
          <t>Y</t>
        </is>
      </c>
      <c r="H7" s="6" t="inlineStr">
        <is>
          <t>C19702</t>
        </is>
      </c>
      <c r="I7" s="6" t="inlineStr">
        <is>
          <t>Basic</t>
        </is>
      </c>
      <c r="J7" s="6" t="n">
        <v>5302559</v>
      </c>
      <c r="K7" s="7" t="n">
        <v>0.0824</v>
      </c>
      <c r="L7" s="8">
        <f>IF(G7="Y",F7*K7,0)</f>
        <v/>
      </c>
      <c r="M7" s="3" t="n"/>
    </row>
    <row r="8" ht="15" customHeight="1" s="15">
      <c r="A8" s="3" t="inlineStr">
        <is>
          <t>Core</t>
        </is>
      </c>
      <c r="B8" s="3" t="inlineStr">
        <is>
          <t>C17,C18</t>
        </is>
      </c>
      <c r="C8" s="3" t="inlineStr">
        <is>
          <t>Crystal load caps</t>
        </is>
      </c>
      <c r="D8" s="3" t="inlineStr">
        <is>
          <t>0402CG150J500NT (15pF)</t>
        </is>
      </c>
      <c r="E8" s="3" t="inlineStr">
        <is>
          <t>C0402</t>
        </is>
      </c>
      <c r="F8" s="4" t="n">
        <v>2</v>
      </c>
      <c r="G8" s="5" t="inlineStr">
        <is>
          <t>Y</t>
        </is>
      </c>
      <c r="H8" s="6" t="inlineStr">
        <is>
          <t>C1548</t>
        </is>
      </c>
      <c r="I8" s="6" t="inlineStr">
        <is>
          <t>Basic</t>
        </is>
      </c>
      <c r="J8" s="6" t="n">
        <v>358497</v>
      </c>
      <c r="K8" s="7" t="n">
        <v>0.0022</v>
      </c>
      <c r="L8" s="8">
        <f>IF(G8="Y",F8*K8,0)</f>
        <v/>
      </c>
      <c r="M8" s="3" t="n"/>
    </row>
    <row r="9" ht="15" customHeight="1" s="15">
      <c r="A9" s="3" t="inlineStr">
        <is>
          <t>Core</t>
        </is>
      </c>
      <c r="B9" s="3" t="inlineStr">
        <is>
          <t>J3</t>
        </is>
      </c>
      <c r="C9" s="3" t="inlineStr">
        <is>
          <t>SWD debug (RPi 3-pin)</t>
        </is>
      </c>
      <c r="D9" s="3" t="inlineStr">
        <is>
          <t>BM03B-SRSS-TB(LF)(SN) (SWD)</t>
        </is>
      </c>
      <c r="E9" s="3" t="inlineStr">
        <is>
          <t>CONN-SMD-3P-P1.00_BM03B-SRSS-TB-LF-SN</t>
        </is>
      </c>
      <c r="F9" s="4" t="n">
        <v>1</v>
      </c>
      <c r="G9" s="5" t="inlineStr">
        <is>
          <t>Y</t>
        </is>
      </c>
      <c r="H9" s="6" t="inlineStr">
        <is>
          <t>C160389</t>
        </is>
      </c>
      <c r="I9" s="6" t="inlineStr">
        <is>
          <t>Extended</t>
        </is>
      </c>
      <c r="J9" s="6" t="n">
        <v>8526</v>
      </c>
      <c r="K9" s="7" t="n">
        <v>0.2686</v>
      </c>
      <c r="L9" s="8">
        <f>IF(G9="Y",F9*K9,0)</f>
        <v/>
      </c>
      <c r="M9" s="3" t="inlineStr">
        <is>
          <t>Vertical (top-entry) JST-SH</t>
        </is>
      </c>
    </row>
    <row r="10" ht="15" customHeight="1" s="15">
      <c r="A10" s="3" t="inlineStr">
        <is>
          <t>Core</t>
        </is>
      </c>
      <c r="B10" s="3" t="inlineStr">
        <is>
          <t>L1</t>
        </is>
      </c>
      <c r="C10" s="3" t="inlineStr">
        <is>
          <t>RP2350 core regulator inductor</t>
        </is>
      </c>
      <c r="D10" s="3" t="inlineStr">
        <is>
          <t>AOTA-B201610S3R3-101-T (3.3uH)</t>
        </is>
      </c>
      <c r="E10" s="3" t="inlineStr">
        <is>
          <t>IND-SMD_L2.0-W1.6_AOTA-B201610S3R3-101-T</t>
        </is>
      </c>
      <c r="F10" s="4" t="n">
        <v>1</v>
      </c>
      <c r="G10" s="5" t="inlineStr">
        <is>
          <t>Y</t>
        </is>
      </c>
      <c r="H10" s="6" t="inlineStr">
        <is>
          <t>C42411119</t>
        </is>
      </c>
      <c r="I10" s="6" t="inlineStr">
        <is>
          <t>Extended</t>
        </is>
      </c>
      <c r="J10" s="6" t="n">
        <v>20758</v>
      </c>
      <c r="K10" s="7" t="n">
        <v>0.2822</v>
      </c>
      <c r="L10" s="8">
        <f>IF(G10="Y",F10*K10,0)</f>
        <v/>
      </c>
      <c r="M10" s="3" t="inlineStr">
        <is>
          <t>Part named in the RP2350 hardware design guide</t>
        </is>
      </c>
    </row>
    <row r="11" ht="15" customHeight="1" s="15">
      <c r="A11" s="3" t="inlineStr">
        <is>
          <t>Core</t>
        </is>
      </c>
      <c r="B11" s="3" t="inlineStr">
        <is>
          <t>R1,R36,R37,R38,R39</t>
        </is>
      </c>
      <c r="C11" s="3" t="inlineStr">
        <is>
          <t>Resistor</t>
        </is>
      </c>
      <c r="D11" s="3" t="inlineStr">
        <is>
          <t>0402WGF330JTCE (33R)</t>
        </is>
      </c>
      <c r="E11" s="3" t="inlineStr">
        <is>
          <t>R0402</t>
        </is>
      </c>
      <c r="F11" s="4" t="n">
        <v>5</v>
      </c>
      <c r="G11" s="5" t="inlineStr">
        <is>
          <t>Y</t>
        </is>
      </c>
      <c r="H11" s="6" t="inlineStr">
        <is>
          <t>C25105</t>
        </is>
      </c>
      <c r="I11" s="6" t="inlineStr">
        <is>
          <t>Basic</t>
        </is>
      </c>
      <c r="J11" s="6" t="n">
        <v>968914</v>
      </c>
      <c r="K11" s="7" t="n">
        <v>0.001</v>
      </c>
      <c r="L11" s="8">
        <f>IF(G11="Y",F11*K11,0)</f>
        <v/>
      </c>
      <c r="M11" s="3" t="n"/>
    </row>
    <row r="12" ht="15" customHeight="1" s="15">
      <c r="A12" s="3" t="inlineStr">
        <is>
          <t>Core</t>
        </is>
      </c>
      <c r="B12" s="3" t="inlineStr">
        <is>
          <t>R2,R6,R40,R51</t>
        </is>
      </c>
      <c r="C12" s="3" t="inlineStr">
        <is>
          <t>Resistor</t>
        </is>
      </c>
      <c r="D12" s="3" t="inlineStr">
        <is>
          <t>0402WGF1001TCE (1k)</t>
        </is>
      </c>
      <c r="E12" s="3" t="inlineStr">
        <is>
          <t>R0402</t>
        </is>
      </c>
      <c r="F12" s="4" t="n">
        <v>4</v>
      </c>
      <c r="G12" s="5" t="inlineStr">
        <is>
          <t>Y</t>
        </is>
      </c>
      <c r="H12" s="6" t="inlineStr">
        <is>
          <t>C11702</t>
        </is>
      </c>
      <c r="I12" s="6" t="inlineStr">
        <is>
          <t>Basic</t>
        </is>
      </c>
      <c r="J12" s="6" t="n">
        <v>2610919</v>
      </c>
      <c r="K12" s="7" t="n">
        <v>0.0011</v>
      </c>
      <c r="L12" s="8">
        <f>IF(G12="Y",F12*K12,0)</f>
        <v/>
      </c>
      <c r="M12" s="3" t="n"/>
    </row>
    <row r="13" ht="15" customHeight="1" s="15">
      <c r="A13" s="3" t="inlineStr">
        <is>
          <t>Core</t>
        </is>
      </c>
      <c r="B13" s="3" t="inlineStr">
        <is>
          <t>R3,R4,R7,R41</t>
        </is>
      </c>
      <c r="C13" s="3" t="inlineStr">
        <is>
          <t>Resistor</t>
        </is>
      </c>
      <c r="D13" s="3" t="inlineStr">
        <is>
          <t>0402WGF1002TCE (10k)</t>
        </is>
      </c>
      <c r="E13" s="3" t="inlineStr">
        <is>
          <t>R0402</t>
        </is>
      </c>
      <c r="F13" s="4" t="n">
        <v>4</v>
      </c>
      <c r="G13" s="5" t="inlineStr">
        <is>
          <t>Y</t>
        </is>
      </c>
      <c r="H13" s="6" t="inlineStr">
        <is>
          <t>C25744</t>
        </is>
      </c>
      <c r="I13" s="6" t="inlineStr">
        <is>
          <t>Basic</t>
        </is>
      </c>
      <c r="J13" s="6" t="n">
        <v>1256270</v>
      </c>
      <c r="K13" s="7" t="n">
        <v>0.0029</v>
      </c>
      <c r="L13" s="8">
        <f>IF(G13="Y",F13*K13,0)</f>
        <v/>
      </c>
      <c r="M13" s="3" t="n"/>
    </row>
    <row r="14" ht="15" customHeight="1" s="15">
      <c r="A14" s="3" t="inlineStr">
        <is>
          <t>Core</t>
        </is>
      </c>
      <c r="B14" s="3" t="inlineStr">
        <is>
          <t>SW1,SW2</t>
        </is>
      </c>
      <c r="C14" s="3" t="inlineStr">
        <is>
          <t>BOOTSEL + RESET buttons</t>
        </is>
      </c>
      <c r="D14" s="3" t="inlineStr">
        <is>
          <t>TS-1088-AR02016 (BOOTSEL/RESET)</t>
        </is>
      </c>
      <c r="E14" s="3" t="inlineStr">
        <is>
          <t>SW-SMD_L3.9-W3.0-P4.45</t>
        </is>
      </c>
      <c r="F14" s="4" t="n">
        <v>2</v>
      </c>
      <c r="G14" s="5" t="inlineStr">
        <is>
          <t>Y</t>
        </is>
      </c>
      <c r="H14" s="6" t="inlineStr">
        <is>
          <t>C720477</t>
        </is>
      </c>
      <c r="I14" s="6" t="inlineStr">
        <is>
          <t>Basic</t>
        </is>
      </c>
      <c r="J14" s="6" t="n">
        <v>877449</v>
      </c>
      <c r="K14" s="7" t="n">
        <v>0.0557</v>
      </c>
      <c r="L14" s="8">
        <f>IF(G14="Y",F14*K14,0)</f>
        <v/>
      </c>
      <c r="M14" s="3" t="n"/>
    </row>
    <row r="15" ht="15" customHeight="1" s="15">
      <c r="A15" s="3" t="inlineStr">
        <is>
          <t>Core</t>
        </is>
      </c>
      <c r="B15" s="3" t="inlineStr">
        <is>
          <t>U1</t>
        </is>
      </c>
      <c r="C15" s="3" t="inlineStr">
        <is>
          <t>Microcontroller, 2 MB flash in package</t>
        </is>
      </c>
      <c r="D15" s="3" t="inlineStr">
        <is>
          <t>RP2354A</t>
        </is>
      </c>
      <c r="E15" s="3" t="inlineStr">
        <is>
          <t>QFN-60_L7.0-W7.0-P0.40-TL-EP3.4</t>
        </is>
      </c>
      <c r="F15" s="4" t="n">
        <v>1</v>
      </c>
      <c r="G15" s="5" t="inlineStr">
        <is>
          <t>Y</t>
        </is>
      </c>
      <c r="H15" s="6" t="inlineStr">
        <is>
          <t>C41378174</t>
        </is>
      </c>
      <c r="I15" s="6" t="inlineStr">
        <is>
          <t>Extended</t>
        </is>
      </c>
      <c r="J15" s="6" t="n">
        <v>6193</v>
      </c>
      <c r="K15" s="7" t="n">
        <v>1.3097</v>
      </c>
      <c r="L15" s="8">
        <f>IF(G15="Y",F15*K15,0)</f>
        <v/>
      </c>
      <c r="M15" s="3" t="inlineStr">
        <is>
          <t>Unit price from JLC list; you quoted GBP 1.00</t>
        </is>
      </c>
    </row>
    <row r="16" ht="23.85" customHeight="1" s="15">
      <c r="A16" s="3" t="inlineStr">
        <is>
          <t>Core</t>
        </is>
      </c>
      <c r="B16" s="3" t="inlineStr">
        <is>
          <t>U9</t>
        </is>
      </c>
      <c r="C16" s="3" t="inlineStr">
        <is>
          <t>QSPI PSRAM 8 MB (hand-solder)</t>
        </is>
      </c>
      <c r="D16" s="3" t="inlineStr">
        <is>
          <t>APS6404L-3SQR-SN</t>
        </is>
      </c>
      <c r="E16" s="3" t="inlineStr">
        <is>
          <t>SOIC-8_L4.9-W3.9-P1.27-LS6.0-BL</t>
        </is>
      </c>
      <c r="F16" s="4" t="n">
        <v>1</v>
      </c>
      <c r="G16" s="5" t="inlineStr">
        <is>
          <t>N</t>
        </is>
      </c>
      <c r="H16" s="6" t="inlineStr">
        <is>
          <t>C5333729</t>
        </is>
      </c>
      <c r="I16" s="6" t="inlineStr">
        <is>
          <t>Extended</t>
        </is>
      </c>
      <c r="J16" s="6" t="n">
        <v>41</v>
      </c>
      <c r="K16" s="7" t="n">
        <v>4.3423</v>
      </c>
      <c r="L16" s="8">
        <f>IF(G16="Y",F16*K16,0)</f>
        <v/>
      </c>
      <c r="M16" s="3" t="inlineStr">
        <is>
          <t>DNP. SOP-8 3.3 V part (the -ZR is USON-8). Buy separately for hand soldering</t>
        </is>
      </c>
    </row>
    <row r="17" ht="23.85" customHeight="1" s="15">
      <c r="A17" s="3" t="inlineStr">
        <is>
          <t>Core</t>
        </is>
      </c>
      <c r="B17" s="3" t="inlineStr">
        <is>
          <t>U11</t>
        </is>
      </c>
      <c r="C17" s="3" t="inlineStr">
        <is>
          <t>Badge LS_A -&gt; RUN open-drain buffer</t>
        </is>
      </c>
      <c r="D17" s="3" t="inlineStr">
        <is>
          <t>SN74LVC1G07DBVR</t>
        </is>
      </c>
      <c r="E17" s="3" t="inlineStr">
        <is>
          <t>SOT-23-5_L3.0-W1.7-P0.95-LS2.8-BR</t>
        </is>
      </c>
      <c r="F17" s="4" t="n">
        <v>1</v>
      </c>
      <c r="G17" s="5" t="inlineStr">
        <is>
          <t>Y</t>
        </is>
      </c>
      <c r="H17" s="6" t="inlineStr">
        <is>
          <t>C7829</t>
        </is>
      </c>
      <c r="I17" s="6" t="inlineStr">
        <is>
          <t>Extended</t>
        </is>
      </c>
      <c r="J17" s="6" t="n">
        <v>46270</v>
      </c>
      <c r="K17" s="7" t="n">
        <v>0.0915</v>
      </c>
      <c r="L17" s="8">
        <f>IF(G17="Y",F17*K17,0)</f>
        <v/>
      </c>
      <c r="M17" s="3" t="inlineStr">
        <is>
          <t>Badge reset buffer, powered from the badge rail (no backfeed)</t>
        </is>
      </c>
    </row>
    <row r="18" ht="15" customHeight="1" s="15">
      <c r="A18" s="3" t="inlineStr">
        <is>
          <t>Core</t>
        </is>
      </c>
      <c r="B18" s="3" t="inlineStr">
        <is>
          <t>Y1</t>
        </is>
      </c>
      <c r="C18" s="3" t="inlineStr">
        <is>
          <t>12 MHz crystal</t>
        </is>
      </c>
      <c r="D18" s="3" t="inlineStr">
        <is>
          <t>ABM8-272-T3 (12MHz)</t>
        </is>
      </c>
      <c r="E18" s="3" t="inlineStr">
        <is>
          <t>CRYSTAL-SMD_4P-L3.2-W2.5-BL</t>
        </is>
      </c>
      <c r="F18" s="4" t="n">
        <v>1</v>
      </c>
      <c r="G18" s="5" t="inlineStr">
        <is>
          <t>Y</t>
        </is>
      </c>
      <c r="H18" s="6" t="inlineStr">
        <is>
          <t>C20625731</t>
        </is>
      </c>
      <c r="I18" s="6" t="inlineStr">
        <is>
          <t>Extended</t>
        </is>
      </c>
      <c r="J18" s="6" t="n">
        <v>18110</v>
      </c>
      <c r="K18" s="7" t="n">
        <v>0.2938</v>
      </c>
      <c r="L18" s="8">
        <f>IF(G18="Y",F18*K18,0)</f>
        <v/>
      </c>
      <c r="M18" s="3" t="inlineStr">
        <is>
          <t>Crystal named in the RP2350 hardware design guide</t>
        </is>
      </c>
    </row>
    <row r="19" ht="15" customHeight="1" s="15">
      <c r="A19" s="3" t="inlineStr">
        <is>
          <t>USB-C input</t>
        </is>
      </c>
      <c r="B19" s="3" t="inlineStr">
        <is>
          <t>C22,C24,C26</t>
        </is>
      </c>
      <c r="C19" s="3" t="inlineStr">
        <is>
          <t>Bulk caps</t>
        </is>
      </c>
      <c r="D19" s="3" t="inlineStr">
        <is>
          <t>CL21A226MAQNNNE (22uF)</t>
        </is>
      </c>
      <c r="E19" s="3" t="inlineStr">
        <is>
          <t>C0805</t>
        </is>
      </c>
      <c r="F19" s="4" t="n">
        <v>3</v>
      </c>
      <c r="G19" s="5" t="inlineStr">
        <is>
          <t>Y</t>
        </is>
      </c>
      <c r="H19" s="6" t="inlineStr">
        <is>
          <t>C45783</t>
        </is>
      </c>
      <c r="I19" s="6" t="inlineStr">
        <is>
          <t>Basic</t>
        </is>
      </c>
      <c r="J19" s="6" t="n">
        <v>1734789</v>
      </c>
      <c r="K19" s="7" t="n">
        <v>0.1185</v>
      </c>
      <c r="L19" s="8">
        <f>IF(G19="Y",F19*K19,0)</f>
        <v/>
      </c>
      <c r="M19" s="3" t="n"/>
    </row>
    <row r="20" ht="15" customHeight="1" s="15">
      <c r="A20" s="3" t="inlineStr">
        <is>
          <t>USB-C input</t>
        </is>
      </c>
      <c r="B20" s="3" t="inlineStr">
        <is>
          <t>D1</t>
        </is>
      </c>
      <c r="C20" s="3" t="inlineStr">
        <is>
          <t>VBUS TVS</t>
        </is>
      </c>
      <c r="D20" s="3" t="inlineStr">
        <is>
          <t>SMF5.0A</t>
        </is>
      </c>
      <c r="E20" s="3" t="inlineStr">
        <is>
          <t>SOD-123FL_L2.7-W1.8-LS3.8-RD</t>
        </is>
      </c>
      <c r="F20" s="4" t="n">
        <v>1</v>
      </c>
      <c r="G20" s="5" t="inlineStr">
        <is>
          <t>Y</t>
        </is>
      </c>
      <c r="H20" s="6" t="inlineStr">
        <is>
          <t>C19077497</t>
        </is>
      </c>
      <c r="I20" s="6" t="inlineStr">
        <is>
          <t>Preferred</t>
        </is>
      </c>
      <c r="J20" s="6" t="n">
        <v>969692</v>
      </c>
      <c r="K20" s="7" t="n">
        <v>0.0273</v>
      </c>
      <c r="L20" s="8">
        <f>IF(G20="Y",F20*K20,0)</f>
        <v/>
      </c>
      <c r="M20" s="3" t="n"/>
    </row>
    <row r="21" ht="23.85" customHeight="1" s="15">
      <c r="A21" s="3" t="inlineStr">
        <is>
          <t>USB-C input</t>
        </is>
      </c>
      <c r="B21" s="3" t="inlineStr">
        <is>
          <t>J2</t>
        </is>
      </c>
      <c r="C21" s="3" t="inlineStr">
        <is>
          <t>USB-C receptacle (sink)</t>
        </is>
      </c>
      <c r="D21" s="3" t="inlineStr">
        <is>
          <t>TYPE-C 16PIN 2MD(073) (USB-C)</t>
        </is>
      </c>
      <c r="E21" s="3" t="inlineStr">
        <is>
          <t>USB-C-SMD_TYPE-C-16PIN-2MD-073</t>
        </is>
      </c>
      <c r="F21" s="4" t="n">
        <v>1</v>
      </c>
      <c r="G21" s="5" t="inlineStr">
        <is>
          <t>Y</t>
        </is>
      </c>
      <c r="H21" s="6" t="inlineStr">
        <is>
          <t>C2765186</t>
        </is>
      </c>
      <c r="I21" s="6" t="inlineStr">
        <is>
          <t>Extended</t>
        </is>
      </c>
      <c r="J21" s="6" t="n">
        <v>1171811</v>
      </c>
      <c r="K21" s="7" t="n">
        <v>0.0742</v>
      </c>
      <c r="L21" s="8">
        <f>IF(G21="Y",F21*K21,0)</f>
        <v/>
      </c>
      <c r="M21" s="3" t="inlineStr">
        <is>
          <t>Same part as the badge. Footprint drawn for 1.6 mm boards; check legs on 1.0 mm</t>
        </is>
      </c>
    </row>
    <row r="22" ht="15" customHeight="1" s="15">
      <c r="A22" s="3" t="inlineStr">
        <is>
          <t>USB-C input</t>
        </is>
      </c>
      <c r="B22" s="3" t="inlineStr">
        <is>
          <t>L2</t>
        </is>
      </c>
      <c r="C22" s="3" t="inlineStr">
        <is>
          <t>Buck inductor</t>
        </is>
      </c>
      <c r="D22" s="3" t="inlineStr">
        <is>
          <t>FTC252012S2R2MBCA (2.2uH)</t>
        </is>
      </c>
      <c r="E22" s="3" t="inlineStr">
        <is>
          <t>IND-SMD_L2.5-W2.0_MHCHL2520</t>
        </is>
      </c>
      <c r="F22" s="4" t="n">
        <v>1</v>
      </c>
      <c r="G22" s="5" t="inlineStr">
        <is>
          <t>Y</t>
        </is>
      </c>
      <c r="H22" s="6" t="inlineStr">
        <is>
          <t>C5832372</t>
        </is>
      </c>
      <c r="I22" s="6" t="inlineStr">
        <is>
          <t>Extended</t>
        </is>
      </c>
      <c r="J22" s="6" t="n">
        <v>773097</v>
      </c>
      <c r="K22" s="7" t="n">
        <v>0.0341</v>
      </c>
      <c r="L22" s="8">
        <f>IF(G22="Y",F22*K22,0)</f>
        <v/>
      </c>
      <c r="M22" s="3" t="n"/>
    </row>
    <row r="23" ht="15" customHeight="1" s="15">
      <c r="A23" s="3" t="inlineStr">
        <is>
          <t>USB-C input</t>
        </is>
      </c>
      <c r="B23" s="3" t="inlineStr">
        <is>
          <t>R8,R9</t>
        </is>
      </c>
      <c r="C23" s="3" t="inlineStr">
        <is>
          <t>Resistor</t>
        </is>
      </c>
      <c r="D23" s="3" t="inlineStr">
        <is>
          <t>0402WGF5101TCE (5.1k)</t>
        </is>
      </c>
      <c r="E23" s="3" t="inlineStr">
        <is>
          <t>R0402</t>
        </is>
      </c>
      <c r="F23" s="4" t="n">
        <v>2</v>
      </c>
      <c r="G23" s="5" t="inlineStr">
        <is>
          <t>Y</t>
        </is>
      </c>
      <c r="H23" s="6" t="inlineStr">
        <is>
          <t>C25905</t>
        </is>
      </c>
      <c r="I23" s="6" t="inlineStr">
        <is>
          <t>Basic</t>
        </is>
      </c>
      <c r="J23" s="6" t="n">
        <v>2237664</v>
      </c>
      <c r="K23" s="7" t="n">
        <v>0.0009</v>
      </c>
      <c r="L23" s="8">
        <f>IF(G23="Y",F23*K23,0)</f>
        <v/>
      </c>
      <c r="M23" s="3" t="n"/>
    </row>
    <row r="24" ht="15" customHeight="1" s="15">
      <c r="A24" s="3" t="inlineStr">
        <is>
          <t>USB-C input</t>
        </is>
      </c>
      <c r="B24" s="3" t="inlineStr">
        <is>
          <t>R10,R11</t>
        </is>
      </c>
      <c r="C24" s="3" t="inlineStr">
        <is>
          <t>Resistor</t>
        </is>
      </c>
      <c r="D24" s="3" t="inlineStr">
        <is>
          <t>0402WGF270JTCE (27R)</t>
        </is>
      </c>
      <c r="E24" s="3" t="inlineStr">
        <is>
          <t>R0402</t>
        </is>
      </c>
      <c r="F24" s="4" t="n">
        <v>2</v>
      </c>
      <c r="G24" s="5" t="inlineStr">
        <is>
          <t>Y</t>
        </is>
      </c>
      <c r="H24" s="6" t="inlineStr">
        <is>
          <t>C25100</t>
        </is>
      </c>
      <c r="I24" s="6" t="inlineStr">
        <is>
          <t>Extended</t>
        </is>
      </c>
      <c r="J24" s="6" t="n">
        <v>1738</v>
      </c>
      <c r="K24" s="7" t="n">
        <v>0.001</v>
      </c>
      <c r="L24" s="8">
        <f>IF(G24="Y",F24*K24,0)</f>
        <v/>
      </c>
      <c r="M24" s="3" t="inlineStr">
        <is>
          <t>Low JLC stock (enough for small runs)</t>
        </is>
      </c>
    </row>
    <row r="25" ht="15" customHeight="1" s="15">
      <c r="A25" s="3" t="inlineStr">
        <is>
          <t>USB-C input</t>
        </is>
      </c>
      <c r="B25" s="3" t="inlineStr">
        <is>
          <t>R12,R16,R17,R18,R34,R35</t>
        </is>
      </c>
      <c r="C25" s="3" t="inlineStr">
        <is>
          <t>Resistor</t>
        </is>
      </c>
      <c r="D25" s="3" t="inlineStr">
        <is>
          <t>0402WGF1003TCE (100k)</t>
        </is>
      </c>
      <c r="E25" s="3" t="inlineStr">
        <is>
          <t>R0402</t>
        </is>
      </c>
      <c r="F25" s="4" t="n">
        <v>6</v>
      </c>
      <c r="G25" s="5" t="inlineStr">
        <is>
          <t>Y</t>
        </is>
      </c>
      <c r="H25" s="6" t="inlineStr">
        <is>
          <t>C25741</t>
        </is>
      </c>
      <c r="I25" s="6" t="inlineStr">
        <is>
          <t>Basic</t>
        </is>
      </c>
      <c r="J25" s="6" t="n">
        <v>1535859</v>
      </c>
      <c r="K25" s="7" t="n">
        <v>0.004</v>
      </c>
      <c r="L25" s="8">
        <f>IF(G25="Y",F25*K25,0)</f>
        <v/>
      </c>
      <c r="M25" s="3" t="n"/>
    </row>
    <row r="26" ht="15" customHeight="1" s="15">
      <c r="A26" s="3" t="inlineStr">
        <is>
          <t>USB-C input</t>
        </is>
      </c>
      <c r="B26" s="3" t="inlineStr">
        <is>
          <t>R13,R15</t>
        </is>
      </c>
      <c r="C26" s="3" t="inlineStr">
        <is>
          <t>Resistor</t>
        </is>
      </c>
      <c r="D26" s="3" t="inlineStr">
        <is>
          <t>0402WGF2202TCE (22k)</t>
        </is>
      </c>
      <c r="E26" s="3" t="inlineStr">
        <is>
          <t>R0402</t>
        </is>
      </c>
      <c r="F26" s="4" t="n">
        <v>2</v>
      </c>
      <c r="G26" s="5" t="inlineStr">
        <is>
          <t>Y</t>
        </is>
      </c>
      <c r="H26" s="6" t="inlineStr">
        <is>
          <t>C25768</t>
        </is>
      </c>
      <c r="I26" s="6" t="inlineStr">
        <is>
          <t>Basic</t>
        </is>
      </c>
      <c r="J26" s="6" t="n">
        <v>667275</v>
      </c>
      <c r="K26" s="7" t="n">
        <v>0.0013</v>
      </c>
      <c r="L26" s="8">
        <f>IF(G26="Y",F26*K26,0)</f>
        <v/>
      </c>
      <c r="M26" s="3" t="n"/>
    </row>
    <row r="27" ht="15" customHeight="1" s="15">
      <c r="A27" s="3" t="inlineStr">
        <is>
          <t>USB-C input</t>
        </is>
      </c>
      <c r="B27" s="3" t="inlineStr">
        <is>
          <t>U3</t>
        </is>
      </c>
      <c r="C27" s="3" t="inlineStr">
        <is>
          <t>Buck 5V -&gt; 3V3 (2 A)</t>
        </is>
      </c>
      <c r="D27" s="3" t="inlineStr">
        <is>
          <t>TLV62569DBVR</t>
        </is>
      </c>
      <c r="E27" s="3" t="inlineStr">
        <is>
          <t>SOT-23-5_L3.0-W1.7-P0.95-LS2.8-BR</t>
        </is>
      </c>
      <c r="F27" s="4" t="n">
        <v>1</v>
      </c>
      <c r="G27" s="5" t="inlineStr">
        <is>
          <t>Y</t>
        </is>
      </c>
      <c r="H27" s="6" t="inlineStr">
        <is>
          <t>C141836</t>
        </is>
      </c>
      <c r="I27" s="6" t="inlineStr">
        <is>
          <t>Extended</t>
        </is>
      </c>
      <c r="J27" s="6" t="n">
        <v>108275</v>
      </c>
      <c r="K27" s="7" t="n">
        <v>0.0733</v>
      </c>
      <c r="L27" s="8">
        <f>IF(G27="Y",F27*K27,0)</f>
        <v/>
      </c>
      <c r="M27" s="3" t="n"/>
    </row>
    <row r="28" ht="15" customHeight="1" s="15">
      <c r="A28" s="3" t="inlineStr">
        <is>
          <t>USB-C input</t>
        </is>
      </c>
      <c r="B28" s="3" t="inlineStr">
        <is>
          <t>U8</t>
        </is>
      </c>
      <c r="C28" s="3" t="inlineStr">
        <is>
          <t>USB ESD</t>
        </is>
      </c>
      <c r="D28" s="3" t="inlineStr">
        <is>
          <t>USBLC6-2SC6</t>
        </is>
      </c>
      <c r="E28" s="3" t="inlineStr">
        <is>
          <t>SOT-23-6_L2.9-W1.6-P0.95-LS2.8-BL</t>
        </is>
      </c>
      <c r="F28" s="4" t="n">
        <v>1</v>
      </c>
      <c r="G28" s="5" t="inlineStr">
        <is>
          <t>Y</t>
        </is>
      </c>
      <c r="H28" s="6" t="inlineStr">
        <is>
          <t>C2687116</t>
        </is>
      </c>
      <c r="I28" s="6" t="inlineStr">
        <is>
          <t>Extended</t>
        </is>
      </c>
      <c r="J28" s="6" t="n">
        <v>150192</v>
      </c>
      <c r="K28" s="7" t="n">
        <v>0.0476</v>
      </c>
      <c r="L28" s="8">
        <f>IF(G28="Y",F28*K28,0)</f>
        <v/>
      </c>
      <c r="M28" s="3" t="n"/>
    </row>
    <row r="29" ht="15" customHeight="1" s="15">
      <c r="A29" s="3" t="inlineStr">
        <is>
          <t>Power mux</t>
        </is>
      </c>
      <c r="B29" s="3" t="inlineStr">
        <is>
          <t>R14</t>
        </is>
      </c>
      <c r="C29" s="3" t="inlineStr">
        <is>
          <t>Resistor</t>
        </is>
      </c>
      <c r="D29" s="3" t="inlineStr">
        <is>
          <t>0402WGF3302TCE (33k)</t>
        </is>
      </c>
      <c r="E29" s="3" t="inlineStr">
        <is>
          <t>R0402</t>
        </is>
      </c>
      <c r="F29" s="4" t="n">
        <v>1</v>
      </c>
      <c r="G29" s="5" t="inlineStr">
        <is>
          <t>Y</t>
        </is>
      </c>
      <c r="H29" s="6" t="inlineStr">
        <is>
          <t>C25779</t>
        </is>
      </c>
      <c r="I29" s="6" t="inlineStr">
        <is>
          <t>Basic</t>
        </is>
      </c>
      <c r="J29" s="6" t="n">
        <v>897525</v>
      </c>
      <c r="K29" s="7" t="n">
        <v>0.0008</v>
      </c>
      <c r="L29" s="8">
        <f>IF(G29="Y",F29*K29,0)</f>
        <v/>
      </c>
      <c r="M29" s="3" t="n"/>
    </row>
    <row r="30" ht="15" customHeight="1" s="15">
      <c r="A30" s="3" t="inlineStr">
        <is>
          <t>Power mux</t>
        </is>
      </c>
      <c r="B30" s="3" t="inlineStr">
        <is>
          <t>U2</t>
        </is>
      </c>
      <c r="C30" s="3" t="inlineStr">
        <is>
          <t>Power mux, USB priority, reverse blocking</t>
        </is>
      </c>
      <c r="D30" s="3" t="inlineStr">
        <is>
          <t>TPS2116DRLR</t>
        </is>
      </c>
      <c r="E30" s="3" t="inlineStr">
        <is>
          <t>SOT-583-8_L2.1-W1.6-P0.50-LS1.6-BL</t>
        </is>
      </c>
      <c r="F30" s="4" t="n">
        <v>1</v>
      </c>
      <c r="G30" s="5" t="inlineStr">
        <is>
          <t>Y</t>
        </is>
      </c>
      <c r="H30" s="6" t="inlineStr">
        <is>
          <t>C3235557</t>
        </is>
      </c>
      <c r="I30" s="6" t="inlineStr">
        <is>
          <t>Extended</t>
        </is>
      </c>
      <c r="J30" s="6" t="n">
        <v>12811</v>
      </c>
      <c r="K30" s="7" t="n">
        <v>0.5491</v>
      </c>
      <c r="L30" s="8">
        <f>IF(G30="Y",F30*K30,0)</f>
        <v/>
      </c>
      <c r="M30" s="3" t="n"/>
    </row>
    <row r="31" ht="15" customHeight="1" s="15">
      <c r="A31" s="3" t="inlineStr">
        <is>
          <t>HDMI +5V boost</t>
        </is>
      </c>
      <c r="B31" s="3" t="inlineStr">
        <is>
          <t>F1</t>
        </is>
      </c>
      <c r="C31" s="3" t="inlineStr">
        <is>
          <t>HDMI +5V resettable fuse</t>
        </is>
      </c>
      <c r="D31" s="3" t="inlineStr">
        <is>
          <t>JK-SMD0805-020-30V (200mA PTC)</t>
        </is>
      </c>
      <c r="E31" s="3" t="inlineStr">
        <is>
          <t>F0805</t>
        </is>
      </c>
      <c r="F31" s="4" t="n">
        <v>1</v>
      </c>
      <c r="G31" s="5" t="inlineStr">
        <is>
          <t>Y</t>
        </is>
      </c>
      <c r="H31" s="6" t="inlineStr">
        <is>
          <t>C516070</t>
        </is>
      </c>
      <c r="I31" s="6" t="inlineStr">
        <is>
          <t>Extended</t>
        </is>
      </c>
      <c r="J31" s="6" t="n">
        <v>460152</v>
      </c>
      <c r="K31" s="7" t="n">
        <v>0.031</v>
      </c>
      <c r="L31" s="8">
        <f>IF(G31="Y",F31*K31,0)</f>
        <v/>
      </c>
      <c r="M31" s="3" t="n"/>
    </row>
    <row r="32" ht="15" customHeight="1" s="15">
      <c r="A32" s="3" t="inlineStr">
        <is>
          <t>HDMI +5V boost</t>
        </is>
      </c>
      <c r="B32" s="3" t="inlineStr">
        <is>
          <t>L3</t>
        </is>
      </c>
      <c r="C32" s="3" t="inlineStr">
        <is>
          <t>Boost inductor</t>
        </is>
      </c>
      <c r="D32" s="3" t="inlineStr">
        <is>
          <t>FTC252010S1R0MBCA (1uH)</t>
        </is>
      </c>
      <c r="E32" s="3" t="inlineStr">
        <is>
          <t>IND-SMD_L2.5-W2.0_FTC252010S</t>
        </is>
      </c>
      <c r="F32" s="4" t="n">
        <v>1</v>
      </c>
      <c r="G32" s="5" t="inlineStr">
        <is>
          <t>Y</t>
        </is>
      </c>
      <c r="H32" s="6" t="inlineStr">
        <is>
          <t>C5832356</t>
        </is>
      </c>
      <c r="I32" s="6" t="inlineStr">
        <is>
          <t>Extended</t>
        </is>
      </c>
      <c r="J32" s="6" t="n">
        <v>259264</v>
      </c>
      <c r="K32" s="7" t="n">
        <v>0.0396</v>
      </c>
      <c r="L32" s="8">
        <f>IF(G32="Y",F32*K32,0)</f>
        <v/>
      </c>
      <c r="M32" s="3" t="n"/>
    </row>
    <row r="33" ht="15" customHeight="1" s="15">
      <c r="A33" s="3" t="inlineStr">
        <is>
          <t>HDMI +5V boost</t>
        </is>
      </c>
      <c r="B33" s="3" t="inlineStr">
        <is>
          <t>R19</t>
        </is>
      </c>
      <c r="C33" s="3" t="inlineStr">
        <is>
          <t>Resistor</t>
        </is>
      </c>
      <c r="D33" s="3" t="inlineStr">
        <is>
          <t>0402WGF2003TCE (200k)</t>
        </is>
      </c>
      <c r="E33" s="3" t="inlineStr">
        <is>
          <t>R0402</t>
        </is>
      </c>
      <c r="F33" s="4" t="n">
        <v>1</v>
      </c>
      <c r="G33" s="5" t="inlineStr">
        <is>
          <t>Y</t>
        </is>
      </c>
      <c r="H33" s="6" t="inlineStr">
        <is>
          <t>C25764</t>
        </is>
      </c>
      <c r="I33" s="6" t="inlineStr">
        <is>
          <t>Basic</t>
        </is>
      </c>
      <c r="J33" s="6" t="n">
        <v>268738</v>
      </c>
      <c r="K33" s="7" t="n">
        <v>0.0009</v>
      </c>
      <c r="L33" s="8">
        <f>IF(G33="Y",F33*K33,0)</f>
        <v/>
      </c>
      <c r="M33" s="3" t="n"/>
    </row>
    <row r="34" ht="15" customHeight="1" s="15">
      <c r="A34" s="3" t="inlineStr">
        <is>
          <t>HDMI +5V boost</t>
        </is>
      </c>
      <c r="B34" s="3" t="inlineStr">
        <is>
          <t>R20</t>
        </is>
      </c>
      <c r="C34" s="3" t="inlineStr">
        <is>
          <t>Resistor</t>
        </is>
      </c>
      <c r="D34" s="3" t="inlineStr">
        <is>
          <t>0402WGF2702TCE (27k)</t>
        </is>
      </c>
      <c r="E34" s="3" t="inlineStr">
        <is>
          <t>R0402</t>
        </is>
      </c>
      <c r="F34" s="4" t="n">
        <v>1</v>
      </c>
      <c r="G34" s="5" t="inlineStr">
        <is>
          <t>Y</t>
        </is>
      </c>
      <c r="H34" s="6" t="inlineStr">
        <is>
          <t>C25771</t>
        </is>
      </c>
      <c r="I34" s="6" t="inlineStr">
        <is>
          <t>Preferred</t>
        </is>
      </c>
      <c r="J34" s="6" t="n">
        <v>153614</v>
      </c>
      <c r="K34" s="7" t="n">
        <v>0.0011</v>
      </c>
      <c r="L34" s="8">
        <f>IF(G34="Y",F34*K34,0)</f>
        <v/>
      </c>
      <c r="M34" s="3" t="n"/>
    </row>
    <row r="35" ht="15" customHeight="1" s="15">
      <c r="A35" s="3" t="inlineStr">
        <is>
          <t>HDMI +5V boost</t>
        </is>
      </c>
      <c r="B35" s="3" t="inlineStr">
        <is>
          <t>U4</t>
        </is>
      </c>
      <c r="C35" s="3" t="inlineStr">
        <is>
          <t>Boost 3V3 -&gt; 5V for HDMI pin 18</t>
        </is>
      </c>
      <c r="D35" s="3" t="inlineStr">
        <is>
          <t>TPS61023DRLR</t>
        </is>
      </c>
      <c r="E35" s="3" t="inlineStr">
        <is>
          <t>SOT-563_L1.6-W1.2-P0.50-LS1.6-BR</t>
        </is>
      </c>
      <c r="F35" s="4" t="n">
        <v>1</v>
      </c>
      <c r="G35" s="5" t="inlineStr">
        <is>
          <t>Y</t>
        </is>
      </c>
      <c r="H35" s="6" t="inlineStr">
        <is>
          <t>C919459</t>
        </is>
      </c>
      <c r="I35" s="6" t="inlineStr">
        <is>
          <t>Extended</t>
        </is>
      </c>
      <c r="J35" s="6" t="n">
        <v>16691</v>
      </c>
      <c r="K35" s="7" t="n">
        <v>0.268</v>
      </c>
      <c r="L35" s="8">
        <f>IF(G35="Y",F35*K35,0)</f>
        <v/>
      </c>
      <c r="M35" s="3" t="n"/>
    </row>
    <row r="36" ht="15" customHeight="1" s="15">
      <c r="A36" s="3" t="inlineStr">
        <is>
          <t>HDMI Type A</t>
        </is>
      </c>
      <c r="B36" s="3" t="inlineStr">
        <is>
          <t>J1</t>
        </is>
      </c>
      <c r="C36" s="3" t="inlineStr">
        <is>
          <t>HDMI Type A receptacle</t>
        </is>
      </c>
      <c r="D36" s="3" t="inlineStr">
        <is>
          <t>HDMI-001 19PCBTP (HDMI-A)</t>
        </is>
      </c>
      <c r="E36" s="3" t="inlineStr">
        <is>
          <t>HDMI-SMD_19P-P0.50-H-F</t>
        </is>
      </c>
      <c r="F36" s="4" t="n">
        <v>1</v>
      </c>
      <c r="G36" s="5" t="inlineStr">
        <is>
          <t>Y</t>
        </is>
      </c>
      <c r="H36" s="6" t="inlineStr">
        <is>
          <t>C138388</t>
        </is>
      </c>
      <c r="I36" s="6" t="inlineStr">
        <is>
          <t>Extended</t>
        </is>
      </c>
      <c r="J36" s="6" t="n">
        <v>50039</v>
      </c>
      <c r="K36" s="7" t="n">
        <v>0.2332</v>
      </c>
      <c r="L36" s="8">
        <f>IF(G36="Y",F36*K36,0)</f>
        <v/>
      </c>
      <c r="M36" s="3" t="inlineStr">
        <is>
          <t>Full-size HDMI Type A. Check fit on the board edge</t>
        </is>
      </c>
    </row>
    <row r="37" ht="15" customHeight="1" s="15">
      <c r="A37" s="3" t="inlineStr">
        <is>
          <t>HDMI Type A</t>
        </is>
      </c>
      <c r="B37" s="3" t="inlineStr">
        <is>
          <t>U6,U7</t>
        </is>
      </c>
      <c r="C37" s="3" t="inlineStr">
        <is>
          <t>HDMI TMDS ESD (0.5 pF)</t>
        </is>
      </c>
      <c r="D37" s="3" t="inlineStr">
        <is>
          <t>TPD4E05U06DQAR</t>
        </is>
      </c>
      <c r="E37" s="3" t="inlineStr">
        <is>
          <t>USON-10_L2.5-W1.0-P0.50-BL</t>
        </is>
      </c>
      <c r="F37" s="4" t="n">
        <v>2</v>
      </c>
      <c r="G37" s="5" t="inlineStr">
        <is>
          <t>Y</t>
        </is>
      </c>
      <c r="H37" s="6" t="inlineStr">
        <is>
          <t>C138714</t>
        </is>
      </c>
      <c r="I37" s="6" t="inlineStr">
        <is>
          <t>Extended</t>
        </is>
      </c>
      <c r="J37" s="6" t="n">
        <v>94387</v>
      </c>
      <c r="K37" s="7" t="n">
        <v>0.0819</v>
      </c>
      <c r="L37" s="8">
        <f>IF(G37="Y",F37*K37,0)</f>
        <v/>
      </c>
      <c r="M37" s="3" t="n"/>
    </row>
    <row r="38" ht="15" customHeight="1" s="15">
      <c r="A38" s="3" t="inlineStr">
        <is>
          <t>Hexpansion edge connector</t>
        </is>
      </c>
      <c r="B38" s="3" t="inlineStr">
        <is>
          <t>C29</t>
        </is>
      </c>
      <c r="C38" s="3" t="inlineStr">
        <is>
          <t>EEPROM decoupling</t>
        </is>
      </c>
      <c r="D38" s="3" t="inlineStr">
        <is>
          <t>CL05B104KO5NNNC (100nF)</t>
        </is>
      </c>
      <c r="E38" s="3" t="inlineStr">
        <is>
          <t>C0402</t>
        </is>
      </c>
      <c r="F38" s="4" t="n">
        <v>1</v>
      </c>
      <c r="G38" s="5" t="inlineStr">
        <is>
          <t>N</t>
        </is>
      </c>
      <c r="H38" s="6" t="inlineStr">
        <is>
          <t>C1525</t>
        </is>
      </c>
      <c r="I38" s="6" t="inlineStr">
        <is>
          <t>Basic</t>
        </is>
      </c>
      <c r="J38" s="6" t="n">
        <v>16407331</v>
      </c>
      <c r="K38" s="7" t="n">
        <v>0.006</v>
      </c>
      <c r="L38" s="8">
        <f>IF(G38="Y",F38*K38,0)</f>
        <v/>
      </c>
      <c r="M38" s="3" t="inlineStr">
        <is>
          <t>DNP with U10</t>
        </is>
      </c>
    </row>
    <row r="39" ht="15" customHeight="1" s="15">
      <c r="A39" s="3" t="inlineStr">
        <is>
          <t>Hexpansion edge connector</t>
        </is>
      </c>
      <c r="B39" s="3" t="inlineStr">
        <is>
          <t>J6</t>
        </is>
      </c>
      <c r="C39" s="3" t="inlineStr">
        <is>
          <t>Hexpansion edge connector (PCB edge)</t>
        </is>
      </c>
      <c r="D39" s="3" t="inlineStr">
        <is>
          <t>Hexpansion-Connector</t>
        </is>
      </c>
      <c r="E39" s="3" t="inlineStr">
        <is>
          <t>hexpansion-edge-connector</t>
        </is>
      </c>
      <c r="F39" s="4" t="n">
        <v>1</v>
      </c>
      <c r="G39" s="5" t="inlineStr">
        <is>
          <t>N</t>
        </is>
      </c>
      <c r="H39" s="6" t="n"/>
      <c r="I39" s="6" t="n"/>
      <c r="J39" s="6" t="n"/>
      <c r="K39" s="7" t="n"/>
      <c r="L39" s="8">
        <f>IF(G39="Y",F39*K39,0)</f>
        <v/>
      </c>
      <c r="M39" s="3" t="inlineStr">
        <is>
          <t>PCB edge fingers, no part</t>
        </is>
      </c>
    </row>
    <row r="40" ht="15" customHeight="1" s="15">
      <c r="A40" s="3" t="inlineStr">
        <is>
          <t>Hexpansion edge connector</t>
        </is>
      </c>
      <c r="B40" s="3" t="inlineStr">
        <is>
          <t>U10</t>
        </is>
      </c>
      <c r="C40" s="3" t="inlineStr">
        <is>
          <t>Hexpansion ID EEPROM (fallback)</t>
        </is>
      </c>
      <c r="D40" s="3" t="inlineStr">
        <is>
          <t>ZD24C64A-SSGMT (ZD24C64A (fallback))</t>
        </is>
      </c>
      <c r="E40" s="3" t="inlineStr">
        <is>
          <t>SOP-8_L4.9-W3.9-P1.27-LS6.0-BL</t>
        </is>
      </c>
      <c r="F40" s="4" t="n">
        <v>1</v>
      </c>
      <c r="G40" s="5" t="inlineStr">
        <is>
          <t>N</t>
        </is>
      </c>
      <c r="H40" s="6" t="inlineStr">
        <is>
          <t>C2896793</t>
        </is>
      </c>
      <c r="I40" s="6" t="inlineStr">
        <is>
          <t>Extended</t>
        </is>
      </c>
      <c r="J40" s="6" t="n">
        <v>6312</v>
      </c>
      <c r="K40" s="7" t="n">
        <v>0.1419</v>
      </c>
      <c r="L40" s="8">
        <f>IF(G40="Y",F40*K40,0)</f>
        <v/>
      </c>
      <c r="M40" s="3" t="inlineStr">
        <is>
          <t>DNP. Fit only if EEPROM emulation fails</t>
        </is>
      </c>
    </row>
    <row r="41" ht="15" customHeight="1" s="15">
      <c r="A41" s="3" t="inlineStr">
        <is>
          <t>LEDs, test pads, mounting</t>
        </is>
      </c>
      <c r="B41" s="3" t="inlineStr">
        <is>
          <t>H1,H2</t>
        </is>
      </c>
      <c r="C41" s="3" t="inlineStr">
        <is>
          <t>Mounting holes</t>
        </is>
      </c>
      <c r="D41" s="3" t="inlineStr">
        <is>
          <t>MountingHole</t>
        </is>
      </c>
      <c r="E41" s="3" t="inlineStr">
        <is>
          <t>MountingHole_2.2mm_M2_Pad_Via</t>
        </is>
      </c>
      <c r="F41" s="4" t="n">
        <v>2</v>
      </c>
      <c r="G41" s="5" t="inlineStr">
        <is>
          <t>N</t>
        </is>
      </c>
      <c r="H41" s="6" t="n"/>
      <c r="I41" s="6" t="n"/>
      <c r="J41" s="6" t="n"/>
      <c r="K41" s="7" t="n"/>
      <c r="L41" s="8">
        <f>IF(G41="Y",F41*K41,0)</f>
        <v/>
      </c>
      <c r="M41" s="3" t="inlineStr">
        <is>
          <t>Bare pads</t>
        </is>
      </c>
    </row>
    <row r="42" ht="15" customHeight="1" s="15">
      <c r="A42" s="3" t="inlineStr">
        <is>
          <t>LEDs, test pads, mounting</t>
        </is>
      </c>
      <c r="B42" s="3" t="inlineStr">
        <is>
          <t>LED1,LED2</t>
        </is>
      </c>
      <c r="C42" s="3" t="inlineStr">
        <is>
          <t>Power + status LEDs</t>
        </is>
      </c>
      <c r="D42" s="3" t="inlineStr">
        <is>
          <t>KT-0603R (PWR/STATUS)</t>
        </is>
      </c>
      <c r="E42" s="3" t="inlineStr">
        <is>
          <t>LED-SMD_L1.6-W0.8-R-RD</t>
        </is>
      </c>
      <c r="F42" s="4" t="n">
        <v>2</v>
      </c>
      <c r="G42" s="5" t="inlineStr">
        <is>
          <t>Y</t>
        </is>
      </c>
      <c r="H42" s="6" t="inlineStr">
        <is>
          <t>C2286</t>
        </is>
      </c>
      <c r="I42" s="6" t="inlineStr">
        <is>
          <t>Basic</t>
        </is>
      </c>
      <c r="J42" s="6" t="n">
        <v>8154450</v>
      </c>
      <c r="K42" s="7" t="n">
        <v>0.0073</v>
      </c>
      <c r="L42" s="8">
        <f>IF(G42="Y",F42*K42,0)</f>
        <v/>
      </c>
      <c r="M42" s="3" t="n"/>
    </row>
    <row r="43" ht="15" customHeight="1" s="15">
      <c r="A43" s="3" t="inlineStr">
        <is>
          <t>LEDs, test pads, mounting</t>
        </is>
      </c>
      <c r="B43" s="3" t="inlineStr">
        <is>
          <t>LED3</t>
        </is>
      </c>
      <c r="C43" s="3" t="inlineStr">
        <is>
          <t>RGB status LED</t>
        </is>
      </c>
      <c r="D43" s="3" t="inlineStr">
        <is>
          <t>SK6805MICRO-J</t>
        </is>
      </c>
      <c r="E43" s="3" t="inlineStr">
        <is>
          <t>LED-SMD_4P-L2.7-W2.4_SK6805MICRO-J</t>
        </is>
      </c>
      <c r="F43" s="4" t="n">
        <v>1</v>
      </c>
      <c r="G43" s="5" t="inlineStr">
        <is>
          <t>Y</t>
        </is>
      </c>
      <c r="H43" s="6" t="inlineStr">
        <is>
          <t>C2909056</t>
        </is>
      </c>
      <c r="I43" s="6" t="inlineStr">
        <is>
          <t>Extended</t>
        </is>
      </c>
      <c r="J43" s="6" t="n">
        <v>38882</v>
      </c>
      <c r="K43" s="7" t="n">
        <v>0.08989999999999999</v>
      </c>
      <c r="L43" s="8">
        <f>IF(G43="Y",F43*K43,0)</f>
        <v/>
      </c>
      <c r="M43" s="3" t="n"/>
    </row>
    <row r="44" ht="15" customHeight="1" s="15">
      <c r="A44" s="3" t="inlineStr">
        <is>
          <t>LEDs, test pads, mounting</t>
        </is>
      </c>
      <c r="B44" s="3" t="inlineStr">
        <is>
          <t>R52</t>
        </is>
      </c>
      <c r="C44" s="3" t="inlineStr">
        <is>
          <t>Resistor</t>
        </is>
      </c>
      <c r="D44" s="3" t="inlineStr">
        <is>
          <t>0402WGF3300TCE (330R)</t>
        </is>
      </c>
      <c r="E44" s="3" t="inlineStr">
        <is>
          <t>R0402</t>
        </is>
      </c>
      <c r="F44" s="4" t="n">
        <v>1</v>
      </c>
      <c r="G44" s="5" t="inlineStr">
        <is>
          <t>Y</t>
        </is>
      </c>
      <c r="H44" s="6" t="inlineStr">
        <is>
          <t>C25104</t>
        </is>
      </c>
      <c r="I44" s="6" t="inlineStr">
        <is>
          <t>Basic</t>
        </is>
      </c>
      <c r="J44" s="6" t="n">
        <v>732878</v>
      </c>
      <c r="K44" s="7" t="n">
        <v>0.0012</v>
      </c>
      <c r="L44" s="8">
        <f>IF(G44="Y",F44*K44,0)</f>
        <v/>
      </c>
      <c r="M44" s="3" t="n"/>
    </row>
    <row r="45" ht="15" customHeight="1" s="15">
      <c r="A45" s="3" t="inlineStr">
        <is>
          <t>LEDs, test pads, mounting</t>
        </is>
      </c>
      <c r="B45" s="3" t="inlineStr">
        <is>
          <t>TP1</t>
        </is>
      </c>
      <c r="C45" s="3" t="inlineStr">
        <is>
          <t>Test pad</t>
        </is>
      </c>
      <c r="D45" s="3" t="inlineStr">
        <is>
          <t>+3V3</t>
        </is>
      </c>
      <c r="E45" s="3" t="inlineStr">
        <is>
          <t>TestPoint_Pad_D1.0mm</t>
        </is>
      </c>
      <c r="F45" s="4" t="n">
        <v>1</v>
      </c>
      <c r="G45" s="5" t="inlineStr">
        <is>
          <t>N</t>
        </is>
      </c>
      <c r="H45" s="6" t="n"/>
      <c r="I45" s="6" t="n"/>
      <c r="J45" s="6" t="n"/>
      <c r="K45" s="7" t="n"/>
      <c r="L45" s="8">
        <f>IF(G45="Y",F45*K45,0)</f>
        <v/>
      </c>
      <c r="M45" s="3" t="inlineStr">
        <is>
          <t>Bare pads</t>
        </is>
      </c>
    </row>
    <row r="46" ht="15" customHeight="1" s="15">
      <c r="A46" s="3" t="inlineStr">
        <is>
          <t>LEDs, test pads, mounting</t>
        </is>
      </c>
      <c r="B46" s="3" t="inlineStr">
        <is>
          <t>TP2</t>
        </is>
      </c>
      <c r="C46" s="3" t="inlineStr">
        <is>
          <t>Test pad</t>
        </is>
      </c>
      <c r="D46" s="3" t="inlineStr">
        <is>
          <t>V5_HDMI</t>
        </is>
      </c>
      <c r="E46" s="3" t="inlineStr">
        <is>
          <t>TestPoint_Pad_D1.0mm</t>
        </is>
      </c>
      <c r="F46" s="4" t="n">
        <v>1</v>
      </c>
      <c r="G46" s="5" t="inlineStr">
        <is>
          <t>N</t>
        </is>
      </c>
      <c r="H46" s="6" t="n"/>
      <c r="I46" s="6" t="n"/>
      <c r="J46" s="6" t="n"/>
      <c r="K46" s="7" t="n"/>
      <c r="L46" s="8">
        <f>IF(G46="Y",F46*K46,0)</f>
        <v/>
      </c>
      <c r="M46" s="3" t="n"/>
    </row>
    <row r="47" ht="15" customHeight="1" s="15">
      <c r="A47" s="3" t="inlineStr">
        <is>
          <t>LEDs, test pads, mounting</t>
        </is>
      </c>
      <c r="B47" s="3" t="inlineStr">
        <is>
          <t>TP3</t>
        </is>
      </c>
      <c r="C47" s="3" t="inlineStr">
        <is>
          <t>Test pad</t>
        </is>
      </c>
      <c r="D47" s="3" t="inlineStr">
        <is>
          <t>GND</t>
        </is>
      </c>
      <c r="E47" s="3" t="inlineStr">
        <is>
          <t>TestPoint_Pad_D1.0mm</t>
        </is>
      </c>
      <c r="F47" s="4" t="n">
        <v>1</v>
      </c>
      <c r="G47" s="5" t="inlineStr">
        <is>
          <t>N</t>
        </is>
      </c>
      <c r="H47" s="6" t="n"/>
      <c r="I47" s="6" t="n"/>
      <c r="J47" s="6" t="n"/>
      <c r="K47" s="7" t="n"/>
      <c r="L47" s="8">
        <f>IF(G47="Y",F47*K47,0)</f>
        <v/>
      </c>
      <c r="M47" s="3" t="n"/>
    </row>
    <row r="48" ht="15" customHeight="1" s="15">
      <c r="A48" s="3" t="inlineStr">
        <is>
          <t>Qwiic</t>
        </is>
      </c>
      <c r="B48" s="3" t="inlineStr">
        <is>
          <t>J4</t>
        </is>
      </c>
      <c r="C48" s="3" t="inlineStr">
        <is>
          <t>Qwiic</t>
        </is>
      </c>
      <c r="D48" s="3" t="inlineStr">
        <is>
          <t>SM04B-SRSS-TB(LF)(SN) (Qwiic)</t>
        </is>
      </c>
      <c r="E48" s="3" t="inlineStr">
        <is>
          <t>CONN-SMD_4P-P1.00_SM04B-SRSS-TB-LF-SN</t>
        </is>
      </c>
      <c r="F48" s="4" t="n">
        <v>1</v>
      </c>
      <c r="G48" s="5" t="inlineStr">
        <is>
          <t>Y</t>
        </is>
      </c>
      <c r="H48" s="6" t="inlineStr">
        <is>
          <t>C160404</t>
        </is>
      </c>
      <c r="I48" s="6" t="inlineStr">
        <is>
          <t>Extended</t>
        </is>
      </c>
      <c r="J48" s="6" t="n">
        <v>7284</v>
      </c>
      <c r="K48" s="7" t="n">
        <v>0.2262</v>
      </c>
      <c r="L48" s="8">
        <f>IF(G48="Y",F48*K48,0)</f>
        <v/>
      </c>
      <c r="M48" s="3" t="n"/>
    </row>
    <row r="49" ht="15" customHeight="1" s="15">
      <c r="A49" s="3" t="inlineStr">
        <is>
          <t>Qwiic</t>
        </is>
      </c>
      <c r="B49" s="3" t="inlineStr">
        <is>
          <t>JP1</t>
        </is>
      </c>
      <c r="C49" s="3" t="inlineStr">
        <is>
          <t>Qwiic pull-up solder jumper</t>
        </is>
      </c>
      <c r="D49" s="3" t="inlineStr">
        <is>
          <t>Qwiic pull-ups</t>
        </is>
      </c>
      <c r="E49" s="3" t="inlineStr">
        <is>
          <t>SolderJumper-2_P1.3mm_Bridged_RoundedPad1.0x1.5mm</t>
        </is>
      </c>
      <c r="F49" s="4" t="n">
        <v>1</v>
      </c>
      <c r="G49" s="5" t="inlineStr">
        <is>
          <t>N</t>
        </is>
      </c>
      <c r="H49" s="6" t="n"/>
      <c r="I49" s="6" t="n"/>
      <c r="J49" s="6" t="n"/>
      <c r="K49" s="7" t="n"/>
      <c r="L49" s="8">
        <f>IF(G49="Y",F49*K49,0)</f>
        <v/>
      </c>
      <c r="M49" s="3" t="inlineStr">
        <is>
          <t>Bare copper jumper, cut to remove Qwiic pull-ups</t>
        </is>
      </c>
    </row>
    <row r="50" ht="15" customHeight="1" s="15">
      <c r="A50" s="3" t="inlineStr">
        <is>
          <t>Qwiic</t>
        </is>
      </c>
      <c r="B50" s="3" t="inlineStr">
        <is>
          <t>R48,R49,R50</t>
        </is>
      </c>
      <c r="C50" s="3" t="inlineStr">
        <is>
          <t>Resistor</t>
        </is>
      </c>
      <c r="D50" s="3" t="inlineStr">
        <is>
          <t>0402WGF4701TCE (4.7k)</t>
        </is>
      </c>
      <c r="E50" s="3" t="inlineStr">
        <is>
          <t>R0402</t>
        </is>
      </c>
      <c r="F50" s="4" t="n">
        <v>3</v>
      </c>
      <c r="G50" s="5" t="inlineStr">
        <is>
          <t>Y</t>
        </is>
      </c>
      <c r="H50" s="6" t="inlineStr">
        <is>
          <t>C25900</t>
        </is>
      </c>
      <c r="I50" s="6" t="inlineStr">
        <is>
          <t>Basic</t>
        </is>
      </c>
      <c r="J50" s="6" t="n">
        <v>3285378</v>
      </c>
      <c r="K50" s="7" t="n">
        <v>0.0011</v>
      </c>
      <c r="L50" s="8">
        <f>IF(G50="Y",F50*K50,0)</f>
        <v/>
      </c>
      <c r="M50" s="3" t="n"/>
    </row>
    <row r="51" s="15"/>
    <row r="52" ht="15" customHeight="1" s="15">
      <c r="K52" s="9" t="inlineStr">
        <is>
          <t>Assembled line items</t>
        </is>
      </c>
      <c r="L52" s="10">
        <f>COUNTIF(G5:G50,"Y")</f>
        <v/>
      </c>
    </row>
    <row r="53" ht="15" customHeight="1" s="15">
      <c r="K53" s="9" t="inlineStr">
        <is>
          <t>Unique Extended parts (setup fee each)</t>
        </is>
      </c>
      <c r="L53" s="10">
        <f>COUNTIF(I5:I50,"Extended")</f>
        <v/>
      </c>
    </row>
    <row r="54" ht="15" customHeight="1" s="15">
      <c r="K54" s="9" t="inlineStr">
        <is>
          <t>Assembly setup fee (USD)</t>
        </is>
      </c>
      <c r="L54" s="11" t="n">
        <v>8</v>
      </c>
    </row>
    <row r="55" ht="15" customHeight="1" s="15">
      <c r="K55" s="9" t="inlineStr">
        <is>
          <t>Extended fee per part (USD)</t>
        </is>
      </c>
      <c r="L55" s="11" t="n">
        <v>3</v>
      </c>
    </row>
    <row r="56" ht="15" customHeight="1" s="15">
      <c r="K56" s="9" t="inlineStr">
        <is>
          <t>Extended parts fee (USD)</t>
        </is>
      </c>
      <c r="L56" s="12">
        <f>L53*L55</f>
        <v/>
      </c>
    </row>
    <row r="57" ht="15" customHeight="1" s="15">
      <c r="K57" s="9" t="inlineStr">
        <is>
          <t>Parts cost per board (USD)</t>
        </is>
      </c>
      <c r="L57" s="12">
        <f>SUM(L5:L50)</f>
        <v/>
      </c>
    </row>
    <row r="58" ht="15" customHeight="1" s="15">
      <c r="K58" s="9" t="inlineStr">
        <is>
          <t>Boards in run</t>
        </is>
      </c>
      <c r="L58" s="13" t="n">
        <v>5</v>
      </c>
    </row>
    <row r="59" ht="15" customHeight="1" s="15">
      <c r="K59" s="9" t="inlineStr">
        <is>
          <t>Parts cost for run (USD)</t>
        </is>
      </c>
      <c r="L59" s="12">
        <f>L57*L58</f>
        <v/>
      </c>
    </row>
    <row r="60" ht="15" customHeight="1" s="15">
      <c r="K60" s="14" t="inlineStr">
        <is>
          <t>Assumptions: setup fee and Extended fee are placeholders I entered (roughly typical JLCPCB figures, not verified) - update from the current JLCPCB pricing page. Board count is 5 as suggested; PCB fabrication and shipping/VAT are not included.</t>
        </is>
      </c>
    </row>
    <row r="61" ht="15" customHeight="1" s="15"/>
    <row r="62" ht="15" customHeight="1" s="15"/>
    <row r="63" s="15"/>
    <row r="64" s="15"/>
    <row r="65" s="15"/>
  </sheetData>
  <mergeCells count="2">
    <mergeCell ref="A2:M2"/>
    <mergeCell ref="K60:M62"/>
  </mergeCells>
  <dataValidations count="2">
    <dataValidation sqref="G5:G50" showDropDown="0" showInputMessage="0" showErrorMessage="0" allowBlank="1" type="list">
      <formula1>"Y,N"</formula1>
    </dataValidation>
    <dataValidation sqref="I5:I50" showDropDown="0" showInputMessage="0" showErrorMessage="0" allowBlank="1" type="list">
      <formula1>"Basic,Preferred,Extended,Not at LCSC"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2026-09-28T17:36:32Z</dcterms:created>
  <dcterms:modified xsi:type="dcterms:W3CDTF">2026-09-28T23:04:18Z</dcterms:modified>
  <cp:lastModifiedBy>Brian Corteil</cp:lastModifiedBy>
  <cp:revision>0</cp:revision>
</cp:coreProperties>
</file>